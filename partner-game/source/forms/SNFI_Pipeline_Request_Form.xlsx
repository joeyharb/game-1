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iomint-my.sharepoint.com/personal/dlemin_iom_int/Documents/Desktop/2026 General Folder_CP IOM/M&amp;E Activity tracking Daily/Templates/Consultants/"/>
    </mc:Choice>
  </mc:AlternateContent>
  <xr:revisionPtr revIDLastSave="0" documentId="8_{A53FE934-0BEF-4481-B964-7DC39D0C9DE8}" xr6:coauthVersionLast="47" xr6:coauthVersionMax="47" xr10:uidLastSave="{00000000-0000-0000-0000-000000000000}"/>
  <bookViews>
    <workbookView xWindow="-110" yWindow="-110" windowWidth="19420" windowHeight="10300" tabRatio="508" xr2:uid="{EFB4AB68-2B95-453D-A764-316BCEDD8AB6}"/>
  </bookViews>
  <sheets>
    <sheet name="request form" sheetId="1" r:id="rId1"/>
    <sheet name="List of Items" sheetId="5" state="hidden" r:id="rId2"/>
    <sheet name="NFI dimensions" sheetId="3" state="hidden" r:id="rId3"/>
    <sheet name="Dropdown_list" sheetId="4" state="hidden" r:id="rId4"/>
  </sheets>
  <definedNames>
    <definedName name="assessment">Dropdown_list!$Q$2:$Q$3</definedName>
    <definedName name="Means_transport">Dropdown_list!$C$2:$C$7</definedName>
    <definedName name="NFI">'NFI dimensions'!$C$2:$C$12</definedName>
    <definedName name="NFI_ITEMS">'List of Items'!$B$2:$B$12</definedName>
    <definedName name="NFI_ITEMS1">'NFI dimensions'!$A$2:$A$12</definedName>
    <definedName name="Partners">Dropdown_list!$G$2:$G$124</definedName>
    <definedName name="Partners_">Dropdown_list!$G$2:$G$194</definedName>
    <definedName name="_xlnm.Print_Area" localSheetId="0">'request form'!$A$1:$O$84</definedName>
    <definedName name="Req_purpose">Dropdown_list!$A$2:$A$4</definedName>
    <definedName name="Shelter">'NFI dimensions'!$C$14:$C$22</definedName>
    <definedName name="SHELTER_ITEMS">'List of Items'!$B$13:$B$21</definedName>
    <definedName name="Shelter_items1">'NFI dimensions'!$A$13:$A$22</definedName>
    <definedName name="State_col">Dropdown_list!$M$2:$M$80</definedName>
    <definedName name="State_start_col">Dropdown_list!$M$2</definedName>
    <definedName name="States">Dropdown_list!$J$2:$J$12</definedName>
    <definedName name="Yes_no">Dropdown_list!$I$1:$I$2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I25" i="1" s="1"/>
  <c r="I38" i="1" s="1"/>
  <c r="E26" i="1"/>
  <c r="H26" i="1"/>
  <c r="E27" i="1"/>
  <c r="H27" i="1"/>
  <c r="L27" i="1"/>
  <c r="E28" i="1"/>
  <c r="H28" i="1"/>
  <c r="L28" i="1"/>
  <c r="E29" i="1"/>
  <c r="H29" i="1"/>
  <c r="L29" i="1"/>
  <c r="E30" i="1"/>
  <c r="H30" i="1"/>
  <c r="L30" i="1"/>
  <c r="E31" i="1"/>
  <c r="H31" i="1"/>
  <c r="L31" i="1"/>
  <c r="E32" i="1"/>
  <c r="I32" i="1"/>
  <c r="E33" i="1"/>
  <c r="H33" i="1"/>
  <c r="L33" i="1"/>
  <c r="E34" i="1"/>
  <c r="H34" i="1"/>
  <c r="L34" i="1"/>
  <c r="E35" i="1"/>
  <c r="H35" i="1"/>
  <c r="L35" i="1"/>
  <c r="E36" i="1"/>
  <c r="H36" i="1"/>
  <c r="L36" i="1"/>
  <c r="K25" i="1"/>
  <c r="K26" i="1"/>
  <c r="K27" i="1"/>
  <c r="K28" i="1"/>
  <c r="K29" i="1"/>
  <c r="K30" i="1"/>
  <c r="K31" i="1"/>
  <c r="K32" i="1"/>
  <c r="K33" i="1"/>
  <c r="K34" i="1"/>
  <c r="K35" i="1"/>
  <c r="K36" i="1"/>
  <c r="E40" i="1"/>
  <c r="I40" i="1"/>
  <c r="E41" i="1"/>
  <c r="H41" i="1"/>
  <c r="L41" i="1"/>
  <c r="E42" i="1"/>
  <c r="H42" i="1"/>
  <c r="L42" i="1"/>
  <c r="E43" i="1"/>
  <c r="H43" i="1"/>
  <c r="L43" i="1"/>
  <c r="E44" i="1"/>
  <c r="I44" i="1"/>
  <c r="E45" i="1"/>
  <c r="H45" i="1"/>
  <c r="L45" i="1"/>
  <c r="E46" i="1"/>
  <c r="H46" i="1"/>
  <c r="L46" i="1"/>
  <c r="E47" i="1"/>
  <c r="H47" i="1"/>
  <c r="L47" i="1"/>
  <c r="E48" i="1"/>
  <c r="H48" i="1"/>
  <c r="L48" i="1"/>
  <c r="E49" i="1"/>
  <c r="H49" i="1"/>
  <c r="L49" i="1"/>
  <c r="K49" i="1"/>
  <c r="K40" i="1"/>
  <c r="K41" i="1"/>
  <c r="K42" i="1"/>
  <c r="K43" i="1"/>
  <c r="K44" i="1"/>
  <c r="K45" i="1"/>
  <c r="K46" i="1"/>
  <c r="K47" i="1"/>
  <c r="K48" i="1"/>
  <c r="B48" i="1"/>
  <c r="B26" i="1"/>
  <c r="B27" i="1"/>
  <c r="B28" i="1"/>
  <c r="B29" i="1"/>
  <c r="B30" i="1"/>
  <c r="B31" i="1"/>
  <c r="B32" i="1"/>
  <c r="B33" i="1"/>
  <c r="B34" i="1"/>
  <c r="B35" i="1"/>
  <c r="B36" i="1"/>
  <c r="B25" i="1"/>
  <c r="H12" i="3"/>
  <c r="I43" i="1"/>
  <c r="I26" i="1"/>
  <c r="I27" i="1"/>
  <c r="I28" i="1"/>
  <c r="I33" i="1"/>
  <c r="I34" i="1"/>
  <c r="I35" i="1"/>
  <c r="I36" i="1"/>
  <c r="I31" i="1"/>
  <c r="I49" i="1"/>
  <c r="I29" i="1"/>
  <c r="I47" i="1"/>
  <c r="I45" i="1"/>
  <c r="I41" i="1"/>
  <c r="B41" i="1"/>
  <c r="B42" i="1"/>
  <c r="B43" i="1"/>
  <c r="B44" i="1"/>
  <c r="B45" i="1"/>
  <c r="B46" i="1"/>
  <c r="B47" i="1"/>
  <c r="B49" i="1"/>
  <c r="B40" i="1"/>
  <c r="I30" i="1"/>
  <c r="H44" i="1"/>
  <c r="L44" i="1"/>
  <c r="L26" i="1"/>
  <c r="I46" i="1"/>
  <c r="I42" i="1"/>
  <c r="H40" i="1"/>
  <c r="I48" i="1"/>
  <c r="I51" i="1" s="1"/>
  <c r="H32" i="1"/>
  <c r="L32" i="1"/>
  <c r="H51" i="1"/>
  <c r="L40" i="1"/>
  <c r="L51" i="1"/>
  <c r="H25" i="1" l="1"/>
  <c r="K51" i="1"/>
  <c r="K38" i="1"/>
  <c r="L25" i="1" l="1"/>
  <c r="L38" i="1" s="1"/>
  <c r="H38" i="1"/>
</calcChain>
</file>

<file path=xl/sharedStrings.xml><?xml version="1.0" encoding="utf-8"?>
<sst xmlns="http://schemas.openxmlformats.org/spreadsheetml/2006/main" count="513" uniqueCount="343">
  <si>
    <t>Shelter/NFI Pipeline REQUEST FORM</t>
  </si>
  <si>
    <r>
      <rPr>
        <sz val="14"/>
        <rFont val="Arial Narrow"/>
        <family val="2"/>
      </rPr>
      <t xml:space="preserve">Instructions: Please use this form for all requests for items from Shelter/NFI Cluster Common Pipeline
1. All fields indicates with asterik (*) are mandatory.
   Please ensure to complete it before sending to the Pipeline Team
2. Please send your Pipeline Request to: 
               </t>
    </r>
    <r>
      <rPr>
        <u/>
        <sz val="18"/>
        <color indexed="12"/>
        <rFont val="Arial Narrow"/>
        <family val="2"/>
      </rPr>
      <t>scsouthsudan-pipeline@googlegroups.com</t>
    </r>
  </si>
  <si>
    <t>For IOM Juba Use Only</t>
  </si>
  <si>
    <r>
      <t xml:space="preserve">Request Number:
</t>
    </r>
    <r>
      <rPr>
        <sz val="13"/>
        <rFont val="Arial Narrow"/>
        <family val="2"/>
      </rPr>
      <t>(to be filled by the Pipeline Team)</t>
    </r>
  </si>
  <si>
    <t>Section 1 - Requester Information</t>
  </si>
  <si>
    <t>Section 2 - Request Information - (to be filled by the Pipeline Team)</t>
  </si>
  <si>
    <r>
      <t>Date</t>
    </r>
    <r>
      <rPr>
        <sz val="14"/>
        <color indexed="10"/>
        <rFont val="Arial Narrow"/>
        <family val="2"/>
      </rPr>
      <t>*</t>
    </r>
  </si>
  <si>
    <t>Date of Request</t>
  </si>
  <si>
    <r>
      <t>Requesting Organization</t>
    </r>
    <r>
      <rPr>
        <sz val="14"/>
        <color indexed="10"/>
        <rFont val="Arial Narrow"/>
        <family val="2"/>
      </rPr>
      <t>*</t>
    </r>
  </si>
  <si>
    <t>Date of Approval</t>
  </si>
  <si>
    <r>
      <t>Name of Requestor</t>
    </r>
    <r>
      <rPr>
        <sz val="14"/>
        <color indexed="10"/>
        <rFont val="Arial Narrow"/>
        <family val="2"/>
      </rPr>
      <t>*</t>
    </r>
  </si>
  <si>
    <t>Purpose of request</t>
  </si>
  <si>
    <t>Prepositioning</t>
  </si>
  <si>
    <t>Immediate Distribution</t>
  </si>
  <si>
    <r>
      <t>Position</t>
    </r>
    <r>
      <rPr>
        <sz val="14"/>
        <color indexed="10"/>
        <rFont val="Arial Narrow"/>
        <family val="2"/>
      </rPr>
      <t>*</t>
    </r>
  </si>
  <si>
    <t>Means of Transport</t>
  </si>
  <si>
    <t>Road</t>
  </si>
  <si>
    <r>
      <t>Email</t>
    </r>
    <r>
      <rPr>
        <sz val="14"/>
        <color indexed="10"/>
        <rFont val="Arial Narrow"/>
        <family val="2"/>
      </rPr>
      <t>*</t>
    </r>
  </si>
  <si>
    <t>Transport from</t>
  </si>
  <si>
    <t>To</t>
  </si>
  <si>
    <r>
      <t>Phone</t>
    </r>
    <r>
      <rPr>
        <sz val="14"/>
        <color indexed="10"/>
        <rFont val="Arial Narrow"/>
        <family val="2"/>
      </rPr>
      <t>*</t>
    </r>
  </si>
  <si>
    <t>Location of Storage/Warehouse</t>
  </si>
  <si>
    <t>Other Contact Details</t>
  </si>
  <si>
    <t>Section 3 - Consignee Information</t>
  </si>
  <si>
    <r>
      <t>Consignee Name</t>
    </r>
    <r>
      <rPr>
        <sz val="14"/>
        <color indexed="10"/>
        <rFont val="Arial Narrow"/>
        <family val="2"/>
      </rPr>
      <t>*</t>
    </r>
  </si>
  <si>
    <t>Click here to see the available stock in pipeline!</t>
  </si>
  <si>
    <r>
      <t>Consignee Mobile Number</t>
    </r>
    <r>
      <rPr>
        <sz val="14"/>
        <color indexed="10"/>
        <rFont val="Arial Narrow"/>
        <family val="2"/>
      </rPr>
      <t>*</t>
    </r>
  </si>
  <si>
    <r>
      <t>Consignee e-mail address</t>
    </r>
    <r>
      <rPr>
        <sz val="14"/>
        <color indexed="10"/>
        <rFont val="Arial Narrow"/>
        <family val="2"/>
      </rPr>
      <t>*</t>
    </r>
  </si>
  <si>
    <t>Section 4. Details of items requested</t>
  </si>
  <si>
    <t>Items</t>
  </si>
  <si>
    <t>Item Code</t>
  </si>
  <si>
    <r>
      <t>Quantity (pieces)</t>
    </r>
    <r>
      <rPr>
        <b/>
        <sz val="14"/>
        <color indexed="10"/>
        <rFont val="Arial Narrow"/>
        <family val="2"/>
      </rPr>
      <t>*</t>
    </r>
  </si>
  <si>
    <t>Quantity (packing unit)</t>
  </si>
  <si>
    <t>Weight (KGs)</t>
  </si>
  <si>
    <t>Volume (M3)</t>
  </si>
  <si>
    <t>Unit Value (USD)</t>
  </si>
  <si>
    <t>Estimated Transport Cost (USD)</t>
  </si>
  <si>
    <t>NFI</t>
  </si>
  <si>
    <t>Blankets</t>
  </si>
  <si>
    <t>Total NFI Requested</t>
  </si>
  <si>
    <t>Shelter</t>
  </si>
  <si>
    <t>Total shelter items requested</t>
  </si>
  <si>
    <r>
      <t>Section 5. Response details</t>
    </r>
    <r>
      <rPr>
        <b/>
        <sz val="14"/>
        <color indexed="10"/>
        <rFont val="Arial Narrow"/>
        <family val="2"/>
      </rPr>
      <t>*</t>
    </r>
  </si>
  <si>
    <r>
      <t>Date of Assessment (MMM, DD YYYY)</t>
    </r>
    <r>
      <rPr>
        <b/>
        <sz val="14"/>
        <color indexed="10"/>
        <rFont val="Arial Narrow"/>
        <family val="2"/>
      </rPr>
      <t>*</t>
    </r>
  </si>
  <si>
    <t>:</t>
  </si>
  <si>
    <r>
      <t>Assessment conducted by (specify partners)</t>
    </r>
    <r>
      <rPr>
        <b/>
        <sz val="14"/>
        <color indexed="10"/>
        <rFont val="Arial Narrow"/>
        <family val="2"/>
      </rPr>
      <t>*</t>
    </r>
    <r>
      <rPr>
        <b/>
        <sz val="14"/>
        <color indexed="8"/>
        <rFont val="Arial Narrow"/>
        <family val="2"/>
      </rPr>
      <t xml:space="preserve">                         </t>
    </r>
  </si>
  <si>
    <r>
      <t>Is the assessment report attached?</t>
    </r>
    <r>
      <rPr>
        <b/>
        <sz val="14"/>
        <color indexed="10"/>
        <rFont val="Arial Narrow"/>
        <family val="2"/>
      </rPr>
      <t>*</t>
    </r>
  </si>
  <si>
    <t>If not, why?</t>
  </si>
  <si>
    <r>
      <t>Date of planned distribution (MMM, DD YYYY)</t>
    </r>
    <r>
      <rPr>
        <b/>
        <sz val="14"/>
        <color indexed="10"/>
        <rFont val="Arial Narrow"/>
        <family val="2"/>
      </rPr>
      <t>*</t>
    </r>
  </si>
  <si>
    <r>
      <t>State</t>
    </r>
    <r>
      <rPr>
        <b/>
        <sz val="14"/>
        <color indexed="10"/>
        <rFont val="Arial Narrow"/>
        <family val="2"/>
      </rPr>
      <t>*</t>
    </r>
  </si>
  <si>
    <r>
      <t>County</t>
    </r>
    <r>
      <rPr>
        <b/>
        <sz val="14"/>
        <color indexed="10"/>
        <rFont val="Arial Narrow"/>
        <family val="2"/>
      </rPr>
      <t>*</t>
    </r>
  </si>
  <si>
    <r>
      <t>Distribution site/location</t>
    </r>
    <r>
      <rPr>
        <b/>
        <sz val="14"/>
        <color indexed="10"/>
        <rFont val="Arial Narrow"/>
        <family val="2"/>
      </rPr>
      <t>*</t>
    </r>
  </si>
  <si>
    <r>
      <t>Distribution to be conducted by (specify partners)</t>
    </r>
    <r>
      <rPr>
        <b/>
        <sz val="14"/>
        <color indexed="10"/>
        <rFont val="Arial Narrow"/>
        <family val="2"/>
      </rPr>
      <t>*</t>
    </r>
  </si>
  <si>
    <t>Ditribution report due date (two weeks after distribution completed)</t>
  </si>
  <si>
    <r>
      <t>Section 7. Beneficiaries Information</t>
    </r>
    <r>
      <rPr>
        <b/>
        <sz val="14"/>
        <color indexed="10"/>
        <rFont val="Arial Narrow"/>
        <family val="2"/>
      </rPr>
      <t>*</t>
    </r>
  </si>
  <si>
    <t>Locations</t>
  </si>
  <si>
    <t># of Households</t>
  </si>
  <si>
    <t># of Male Headed Household</t>
  </si>
  <si>
    <t># of Female Headed Households</t>
  </si>
  <si>
    <t>Individuals</t>
  </si>
  <si>
    <r>
      <t>Section 6. Justification for request</t>
    </r>
    <r>
      <rPr>
        <b/>
        <sz val="14"/>
        <color indexed="10"/>
        <rFont val="Arial Narrow"/>
        <family val="2"/>
      </rPr>
      <t>*</t>
    </r>
  </si>
  <si>
    <t>Requested By:</t>
  </si>
  <si>
    <t>Approved By:</t>
  </si>
  <si>
    <t xml:space="preserve">Title: </t>
  </si>
  <si>
    <t xml:space="preserve">Signature: </t>
  </si>
  <si>
    <t>Serial</t>
  </si>
  <si>
    <t>Item Name</t>
  </si>
  <si>
    <t>NFI001</t>
  </si>
  <si>
    <t>Packed standard NFI Kits</t>
  </si>
  <si>
    <t>NFI002</t>
  </si>
  <si>
    <t>NFI003</t>
  </si>
  <si>
    <t>Kanga</t>
  </si>
  <si>
    <t>NFI004</t>
  </si>
  <si>
    <t>Kitchen Sets</t>
  </si>
  <si>
    <t>NFI005</t>
  </si>
  <si>
    <t>Mosquito Nets</t>
  </si>
  <si>
    <t>NFI006</t>
  </si>
  <si>
    <t>Sleeping Mats</t>
  </si>
  <si>
    <t>SNFI001</t>
  </si>
  <si>
    <t>Plastic sheeting</t>
  </si>
  <si>
    <t>NFI007</t>
  </si>
  <si>
    <t>Solar Lamp</t>
  </si>
  <si>
    <t>NFI008</t>
  </si>
  <si>
    <t>NFI bag</t>
  </si>
  <si>
    <t>SK001</t>
  </si>
  <si>
    <t>Survival Kits</t>
  </si>
  <si>
    <t>SK002</t>
  </si>
  <si>
    <t>HEB (BP5) Biscuits</t>
  </si>
  <si>
    <t>SHEL001</t>
  </si>
  <si>
    <t>Bamboo Bundles (10)</t>
  </si>
  <si>
    <t>SHEL002</t>
  </si>
  <si>
    <t>Wooden poles</t>
  </si>
  <si>
    <t>SHEL003</t>
  </si>
  <si>
    <t>Sand Bags</t>
  </si>
  <si>
    <t>SHEL004</t>
  </si>
  <si>
    <t>Family Tents</t>
  </si>
  <si>
    <t>SHEL005</t>
  </si>
  <si>
    <t>Tent (6m x 12m)</t>
  </si>
  <si>
    <t>SHEL006</t>
  </si>
  <si>
    <t>Nylon Rope (30m)</t>
  </si>
  <si>
    <t>SHEL007</t>
  </si>
  <si>
    <t>Pegs</t>
  </si>
  <si>
    <t>SHEL008</t>
  </si>
  <si>
    <t>Grub Hoe</t>
  </si>
  <si>
    <t>SHEL009</t>
  </si>
  <si>
    <t>Rubber Rope</t>
  </si>
  <si>
    <t>Item Category</t>
  </si>
  <si>
    <t>Packaging Unit</t>
  </si>
  <si>
    <t>LENGTH /cm</t>
  </si>
  <si>
    <t>WIDTH/ cm</t>
  </si>
  <si>
    <t>HEIGHT /cm</t>
  </si>
  <si>
    <t>WEIGHT/ Kg</t>
  </si>
  <si>
    <t>VOLUME /M3</t>
  </si>
  <si>
    <t>Price</t>
  </si>
  <si>
    <t>Plastic Sheet</t>
  </si>
  <si>
    <t>Survival kits</t>
  </si>
  <si>
    <t>SHEL010</t>
  </si>
  <si>
    <t>Purpose of Request</t>
  </si>
  <si>
    <t>means of Transport</t>
  </si>
  <si>
    <t>CRP Partners</t>
  </si>
  <si>
    <t>Implementing Partners</t>
  </si>
  <si>
    <t>Yes</t>
  </si>
  <si>
    <t>State</t>
  </si>
  <si>
    <t>State Code</t>
  </si>
  <si>
    <t>County</t>
  </si>
  <si>
    <t>County Code</t>
  </si>
  <si>
    <t>Assessment done</t>
  </si>
  <si>
    <t>ACT/LWF</t>
  </si>
  <si>
    <t>AAHI</t>
  </si>
  <si>
    <t>No</t>
  </si>
  <si>
    <t>Central Equatoria</t>
  </si>
  <si>
    <t>Abyei Admin. Area</t>
  </si>
  <si>
    <t>Air</t>
  </si>
  <si>
    <t>CCOSS</t>
  </si>
  <si>
    <t>Across</t>
  </si>
  <si>
    <t>Eastern Equatoria</t>
  </si>
  <si>
    <t>Juba</t>
  </si>
  <si>
    <t>CORDAID</t>
  </si>
  <si>
    <t>ACTED</t>
  </si>
  <si>
    <t>Jonglei</t>
  </si>
  <si>
    <t>Kajo-keji</t>
  </si>
  <si>
    <t>Concern Worldwide</t>
  </si>
  <si>
    <t>ACF-USA</t>
  </si>
  <si>
    <t>Lakes</t>
  </si>
  <si>
    <t>Lainya</t>
  </si>
  <si>
    <t>DRC</t>
  </si>
  <si>
    <t>ADRA</t>
  </si>
  <si>
    <t>Northern Bahr el Ghazal</t>
  </si>
  <si>
    <t>Morobo</t>
  </si>
  <si>
    <t>HDC</t>
  </si>
  <si>
    <t>AHA</t>
  </si>
  <si>
    <t>Unity</t>
  </si>
  <si>
    <t>Terekeka</t>
  </si>
  <si>
    <t>INTERSOS</t>
  </si>
  <si>
    <t>ARC</t>
  </si>
  <si>
    <t>Upper Nile</t>
  </si>
  <si>
    <t>Yei</t>
  </si>
  <si>
    <t>IOM</t>
  </si>
  <si>
    <t>AARJ</t>
  </si>
  <si>
    <t>Warrap</t>
  </si>
  <si>
    <t>Budi</t>
  </si>
  <si>
    <t>LCED</t>
  </si>
  <si>
    <t>AVSI</t>
  </si>
  <si>
    <t>Western Bahr el Ghazal</t>
  </si>
  <si>
    <t>Ikotos</t>
  </si>
  <si>
    <t>MEDAIR</t>
  </si>
  <si>
    <t>Western Equatoria</t>
  </si>
  <si>
    <t>Kapoeta East</t>
  </si>
  <si>
    <t>NRC</t>
  </si>
  <si>
    <t>AWODA</t>
  </si>
  <si>
    <t>Kapoeta North</t>
  </si>
  <si>
    <t>PAH</t>
  </si>
  <si>
    <t>Brac</t>
  </si>
  <si>
    <t>Kapoeta South</t>
  </si>
  <si>
    <t>Plan</t>
  </si>
  <si>
    <t>CAD</t>
  </si>
  <si>
    <t>Lapon</t>
  </si>
  <si>
    <t>SSUDA</t>
  </si>
  <si>
    <t>CADA</t>
  </si>
  <si>
    <t>Magwi</t>
  </si>
  <si>
    <t>UNHCR</t>
  </si>
  <si>
    <t>CCOASS</t>
  </si>
  <si>
    <t>Torit</t>
  </si>
  <si>
    <t>WV South Sudan</t>
  </si>
  <si>
    <t>CARE</t>
  </si>
  <si>
    <t>Akobo</t>
  </si>
  <si>
    <t>Caritas</t>
  </si>
  <si>
    <t>Ayod</t>
  </si>
  <si>
    <t>CRS</t>
  </si>
  <si>
    <t>Bor South</t>
  </si>
  <si>
    <t>CCM</t>
  </si>
  <si>
    <t>Canal (Khor Fulus)</t>
  </si>
  <si>
    <t>CESVI</t>
  </si>
  <si>
    <t>Duk</t>
  </si>
  <si>
    <t>CMD</t>
  </si>
  <si>
    <t>Fangak</t>
  </si>
  <si>
    <t>CMA</t>
  </si>
  <si>
    <t>Nyirol</t>
  </si>
  <si>
    <t>CMI</t>
  </si>
  <si>
    <t>Pibor</t>
  </si>
  <si>
    <t>Concern</t>
  </si>
  <si>
    <t>Pochalla</t>
  </si>
  <si>
    <t>CCC</t>
  </si>
  <si>
    <t>Twic East</t>
  </si>
  <si>
    <t>COSV</t>
  </si>
  <si>
    <t>Uror</t>
  </si>
  <si>
    <t>CUAMM</t>
  </si>
  <si>
    <t>Awerial</t>
  </si>
  <si>
    <t>DCA</t>
  </si>
  <si>
    <t>Cueibet</t>
  </si>
  <si>
    <t>DDG</t>
  </si>
  <si>
    <t>Rumbek Centre</t>
  </si>
  <si>
    <t>Rumbek East</t>
  </si>
  <si>
    <t>FCA</t>
  </si>
  <si>
    <t>Rumbek North</t>
  </si>
  <si>
    <t>GAA</t>
  </si>
  <si>
    <t>Wulu</t>
  </si>
  <si>
    <t>GKADO</t>
  </si>
  <si>
    <t>Yirol East</t>
  </si>
  <si>
    <t>GOAL</t>
  </si>
  <si>
    <t>Yirol West</t>
  </si>
  <si>
    <t>Healthnet TPO</t>
  </si>
  <si>
    <t>Aweil Centre</t>
  </si>
  <si>
    <t>HLSS</t>
  </si>
  <si>
    <t>Aweil East</t>
  </si>
  <si>
    <t>HCO</t>
  </si>
  <si>
    <t>Aweil North</t>
  </si>
  <si>
    <t>IBIS</t>
  </si>
  <si>
    <t>Aweil South</t>
  </si>
  <si>
    <t>IMA</t>
  </si>
  <si>
    <t>Aweil West</t>
  </si>
  <si>
    <t>IAS</t>
  </si>
  <si>
    <t>Abiemnhom</t>
  </si>
  <si>
    <t>ICRC</t>
  </si>
  <si>
    <t>Guit</t>
  </si>
  <si>
    <t>IFRC</t>
  </si>
  <si>
    <t>Koch</t>
  </si>
  <si>
    <t>IMC</t>
  </si>
  <si>
    <t>Leer</t>
  </si>
  <si>
    <t>Mayendit</t>
  </si>
  <si>
    <t>IRC</t>
  </si>
  <si>
    <t>Mayom</t>
  </si>
  <si>
    <t>INTERNEWS</t>
  </si>
  <si>
    <t>Panyijar</t>
  </si>
  <si>
    <t>Pariang</t>
  </si>
  <si>
    <t>JIA</t>
  </si>
  <si>
    <t>Rubkona</t>
  </si>
  <si>
    <t>KHI</t>
  </si>
  <si>
    <t>Baliet</t>
  </si>
  <si>
    <t>Fashoda</t>
  </si>
  <si>
    <t>Logs</t>
  </si>
  <si>
    <t>longochuk</t>
  </si>
  <si>
    <t>LWF</t>
  </si>
  <si>
    <t>Luakpiny/nasir</t>
  </si>
  <si>
    <t>MaCDA</t>
  </si>
  <si>
    <t>Maban</t>
  </si>
  <si>
    <t>MAG</t>
  </si>
  <si>
    <t>Maiwut</t>
  </si>
  <si>
    <t>MAGNA</t>
  </si>
  <si>
    <t>Malakal</t>
  </si>
  <si>
    <t>Malteser</t>
  </si>
  <si>
    <t>Manyo</t>
  </si>
  <si>
    <t>Mani Tese</t>
  </si>
  <si>
    <t>Melut</t>
  </si>
  <si>
    <t>Medair</t>
  </si>
  <si>
    <t>Panyikang</t>
  </si>
  <si>
    <t>Merlin</t>
  </si>
  <si>
    <t>Renk</t>
  </si>
  <si>
    <t>Mercy Corps</t>
  </si>
  <si>
    <t>Ulang</t>
  </si>
  <si>
    <t>MoH</t>
  </si>
  <si>
    <t>Gogrial East</t>
  </si>
  <si>
    <t>MRDA</t>
  </si>
  <si>
    <t>Gogrial West</t>
  </si>
  <si>
    <t>MSF</t>
  </si>
  <si>
    <t>Tonj East</t>
  </si>
  <si>
    <t>MSF-B</t>
  </si>
  <si>
    <t>Tonj North</t>
  </si>
  <si>
    <t>MSF-CH</t>
  </si>
  <si>
    <t>Tonj South</t>
  </si>
  <si>
    <t>MSF-F</t>
  </si>
  <si>
    <t>Twic</t>
  </si>
  <si>
    <t>MSF-H</t>
  </si>
  <si>
    <t>Jur River</t>
  </si>
  <si>
    <t>MSF-Spain</t>
  </si>
  <si>
    <t>Raga</t>
  </si>
  <si>
    <t>MI</t>
  </si>
  <si>
    <t>Wau</t>
  </si>
  <si>
    <t>NCA</t>
  </si>
  <si>
    <t>Ezo</t>
  </si>
  <si>
    <t>Nile Hope</t>
  </si>
  <si>
    <t>Ibba</t>
  </si>
  <si>
    <t>NP</t>
  </si>
  <si>
    <t>Maridi</t>
  </si>
  <si>
    <t>NPA</t>
  </si>
  <si>
    <t>Mundri east</t>
  </si>
  <si>
    <t>Mundri West</t>
  </si>
  <si>
    <t>OSIL</t>
  </si>
  <si>
    <t>Mvolo</t>
  </si>
  <si>
    <t>Oxfam</t>
  </si>
  <si>
    <t>Nagero</t>
  </si>
  <si>
    <t>Nzara</t>
  </si>
  <si>
    <t>PCO</t>
  </si>
  <si>
    <t>Tambura</t>
  </si>
  <si>
    <t>PIN</t>
  </si>
  <si>
    <t>Yambio</t>
  </si>
  <si>
    <t>RI</t>
  </si>
  <si>
    <t>SP</t>
  </si>
  <si>
    <t>SCI</t>
  </si>
  <si>
    <t>SMC</t>
  </si>
  <si>
    <t>Sobat</t>
  </si>
  <si>
    <t>SI</t>
  </si>
  <si>
    <t>SSRC</t>
  </si>
  <si>
    <t>SPEDP</t>
  </si>
  <si>
    <t>SUFEM</t>
  </si>
  <si>
    <t>Tearfund</t>
  </si>
  <si>
    <t>TDH</t>
  </si>
  <si>
    <t>THESO</t>
  </si>
  <si>
    <t>UNESCO</t>
  </si>
  <si>
    <t>UNFPA</t>
  </si>
  <si>
    <t>UNHAS</t>
  </si>
  <si>
    <t>UNICEF</t>
  </si>
  <si>
    <t>UNIDO</t>
  </si>
  <si>
    <t>OCHA</t>
  </si>
  <si>
    <t>UNKEA</t>
  </si>
  <si>
    <t>UNMAS</t>
  </si>
  <si>
    <t>UNMISS</t>
  </si>
  <si>
    <t>WFP</t>
  </si>
  <si>
    <t>WHO</t>
  </si>
  <si>
    <t>WR</t>
  </si>
  <si>
    <t>WVI</t>
  </si>
  <si>
    <t>ZOA</t>
  </si>
  <si>
    <t>Cordaid</t>
  </si>
  <si>
    <t>MCDA</t>
  </si>
  <si>
    <t>JYDA</t>
  </si>
  <si>
    <t>SALF</t>
  </si>
  <si>
    <t>World Relief</t>
  </si>
  <si>
    <t>RRM</t>
  </si>
  <si>
    <t>ROSS</t>
  </si>
  <si>
    <t>RRC</t>
  </si>
  <si>
    <t>Mentor Initiative</t>
  </si>
  <si>
    <t>RRA</t>
  </si>
  <si>
    <t>Health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</si>
</sst>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0;[Red]0"/>
    <numFmt numFmtId="166" formatCode="_(* #,##0_);_(* \(#,##0\);_(* &quot;-&quot;??_);_(@_)"/>
    <numFmt numFmtId="167" formatCode="0.0"/>
    <numFmt numFmtId="168" formatCode="_([$$-409]* #,##0.00_);_([$$-409]* \(#,##0.00\);_([$$-409]* &quot;-&quot;??_);_(@_)"/>
  </numFmts>
  <fonts count="3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4"/>
      <color indexed="9"/>
      <name val="Arial Narrow"/>
      <family val="2"/>
    </font>
    <font>
      <sz val="10"/>
      <name val="Arial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indexed="10"/>
      <name val="Arial Narrow"/>
      <family val="2"/>
    </font>
    <font>
      <b/>
      <sz val="14"/>
      <color indexed="8"/>
      <name val="Arial Narrow"/>
      <family val="2"/>
    </font>
    <font>
      <sz val="14"/>
      <color indexed="10"/>
      <name val="Arial Narrow"/>
      <family val="2"/>
    </font>
    <font>
      <b/>
      <sz val="11"/>
      <name val="Arial Narrow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20"/>
      <name val="Arial Narrow"/>
      <family val="2"/>
    </font>
    <font>
      <u/>
      <sz val="18"/>
      <color indexed="12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Arial"/>
      <family val="2"/>
    </font>
    <font>
      <sz val="12.1"/>
      <color rgb="FF000000"/>
      <name val="Calibri"/>
      <family val="2"/>
    </font>
    <font>
      <b/>
      <sz val="12.1"/>
      <color rgb="FFFFFFFF"/>
      <name val="Calibri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i/>
      <sz val="14"/>
      <color rgb="FFFF0000"/>
      <name val="Arial Narrow"/>
      <family val="2"/>
    </font>
    <font>
      <b/>
      <sz val="14"/>
      <color rgb="FFFF0000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rial Narrow"/>
      <family val="2"/>
    </font>
    <font>
      <u/>
      <sz val="18"/>
      <color theme="10"/>
      <name val="Calibri"/>
      <family val="2"/>
      <scheme val="minor"/>
    </font>
    <font>
      <b/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0"/>
    <xf numFmtId="0" fontId="5" fillId="0" borderId="0"/>
  </cellStyleXfs>
  <cellXfs count="23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21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164" fontId="3" fillId="0" borderId="0" xfId="0" applyNumberFormat="1" applyFont="1" applyAlignment="1" applyProtection="1">
      <alignment vertical="center"/>
      <protection locked="0"/>
    </xf>
    <xf numFmtId="0" fontId="0" fillId="0" borderId="1" xfId="0" applyBorder="1"/>
    <xf numFmtId="0" fontId="6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22" fillId="0" borderId="0" xfId="0" applyFont="1"/>
    <xf numFmtId="0" fontId="23" fillId="3" borderId="0" xfId="0" applyFont="1" applyFill="1"/>
    <xf numFmtId="0" fontId="12" fillId="4" borderId="0" xfId="4" applyFont="1" applyFill="1"/>
    <xf numFmtId="165" fontId="12" fillId="4" borderId="0" xfId="4" applyNumberFormat="1" applyFont="1" applyFill="1"/>
    <xf numFmtId="0" fontId="22" fillId="5" borderId="25" xfId="0" applyFont="1" applyFill="1" applyBorder="1"/>
    <xf numFmtId="0" fontId="24" fillId="5" borderId="26" xfId="0" applyFont="1" applyFill="1" applyBorder="1"/>
    <xf numFmtId="0" fontId="13" fillId="0" borderId="0" xfId="4" applyFont="1"/>
    <xf numFmtId="1" fontId="13" fillId="0" borderId="0" xfId="4" applyNumberFormat="1" applyFont="1"/>
    <xf numFmtId="0" fontId="22" fillId="0" borderId="25" xfId="0" applyFont="1" applyBorder="1"/>
    <xf numFmtId="0" fontId="24" fillId="0" borderId="26" xfId="0" applyFont="1" applyBorder="1"/>
    <xf numFmtId="0" fontId="13" fillId="0" borderId="0" xfId="4" applyFont="1" applyAlignment="1">
      <alignment shrinkToFit="1"/>
    </xf>
    <xf numFmtId="0" fontId="20" fillId="6" borderId="1" xfId="0" applyFont="1" applyFill="1" applyBorder="1" applyAlignment="1">
      <alignment horizontal="center" vertical="center" wrapText="1"/>
    </xf>
    <xf numFmtId="0" fontId="25" fillId="7" borderId="1" xfId="0" applyFont="1" applyFill="1" applyBorder="1"/>
    <xf numFmtId="2" fontId="0" fillId="8" borderId="1" xfId="0" applyNumberFormat="1" applyFill="1" applyBorder="1"/>
    <xf numFmtId="0" fontId="0" fillId="9" borderId="1" xfId="0" applyFill="1" applyBorder="1"/>
    <xf numFmtId="0" fontId="26" fillId="10" borderId="1" xfId="0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left" vertical="center"/>
      <protection locked="0"/>
    </xf>
    <xf numFmtId="0" fontId="21" fillId="0" borderId="2" xfId="0" applyFont="1" applyBorder="1" applyProtection="1"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7" fillId="11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4" fillId="2" borderId="4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6" fillId="11" borderId="0" xfId="0" applyFont="1" applyFill="1" applyAlignment="1" applyProtection="1">
      <alignment vertical="center"/>
      <protection locked="0"/>
    </xf>
    <xf numFmtId="0" fontId="27" fillId="11" borderId="0" xfId="0" applyFont="1" applyFill="1" applyProtection="1">
      <protection locked="0"/>
    </xf>
    <xf numFmtId="0" fontId="28" fillId="11" borderId="0" xfId="0" applyFont="1" applyFill="1" applyProtection="1"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Protection="1"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29" fillId="0" borderId="7" xfId="0" applyFont="1" applyBorder="1" applyAlignment="1" applyProtection="1">
      <alignment vertical="center"/>
      <protection locked="0"/>
    </xf>
    <xf numFmtId="0" fontId="29" fillId="0" borderId="7" xfId="0" applyFont="1" applyBorder="1" applyAlignment="1" applyProtection="1">
      <alignment horizontal="center" vertical="center"/>
      <protection locked="0"/>
    </xf>
    <xf numFmtId="167" fontId="28" fillId="12" borderId="1" xfId="0" applyNumberFormat="1" applyFont="1" applyFill="1" applyBorder="1" applyAlignment="1" applyProtection="1">
      <alignment vertical="center"/>
      <protection locked="0"/>
    </xf>
    <xf numFmtId="167" fontId="7" fillId="12" borderId="1" xfId="0" applyNumberFormat="1" applyFont="1" applyFill="1" applyBorder="1" applyAlignment="1" applyProtection="1">
      <alignment horizontal="right" vertical="center" wrapText="1"/>
      <protection locked="0"/>
    </xf>
    <xf numFmtId="167" fontId="28" fillId="12" borderId="1" xfId="0" applyNumberFormat="1" applyFont="1" applyFill="1" applyBorder="1" applyAlignment="1" applyProtection="1">
      <alignment horizontal="right" vertical="center"/>
      <protection locked="0"/>
    </xf>
    <xf numFmtId="167" fontId="30" fillId="0" borderId="1" xfId="0" applyNumberFormat="1" applyFont="1" applyBorder="1" applyAlignment="1">
      <alignment horizontal="right" vertical="center"/>
    </xf>
    <xf numFmtId="167" fontId="30" fillId="0" borderId="8" xfId="2" applyNumberFormat="1" applyFont="1" applyBorder="1" applyAlignment="1" applyProtection="1">
      <alignment horizontal="right" vertical="center"/>
    </xf>
    <xf numFmtId="167" fontId="30" fillId="0" borderId="1" xfId="2" applyNumberFormat="1" applyFont="1" applyBorder="1" applyAlignment="1" applyProtection="1">
      <alignment horizontal="right" vertical="center"/>
    </xf>
    <xf numFmtId="0" fontId="7" fillId="0" borderId="1" xfId="0" applyFont="1" applyBorder="1" applyAlignment="1">
      <alignment horizontal="right" vertical="center"/>
    </xf>
    <xf numFmtId="168" fontId="28" fillId="0" borderId="8" xfId="0" applyNumberFormat="1" applyFont="1" applyBorder="1" applyAlignment="1">
      <alignment horizontal="right" vertical="center"/>
    </xf>
    <xf numFmtId="166" fontId="28" fillId="13" borderId="1" xfId="1" applyNumberFormat="1" applyFont="1" applyFill="1" applyBorder="1" applyAlignment="1" applyProtection="1">
      <alignment vertical="center"/>
    </xf>
    <xf numFmtId="0" fontId="6" fillId="14" borderId="0" xfId="0" applyFont="1" applyFill="1" applyAlignment="1" applyProtection="1">
      <alignment horizontal="center" vertical="center"/>
      <protection locked="0"/>
    </xf>
    <xf numFmtId="167" fontId="30" fillId="13" borderId="1" xfId="0" applyNumberFormat="1" applyFont="1" applyFill="1" applyBorder="1" applyAlignment="1">
      <alignment vertical="center"/>
    </xf>
    <xf numFmtId="164" fontId="7" fillId="12" borderId="9" xfId="0" applyNumberFormat="1" applyFont="1" applyFill="1" applyBorder="1" applyAlignment="1" applyProtection="1">
      <alignment horizontal="left" vertical="center"/>
      <protection locked="0"/>
    </xf>
    <xf numFmtId="164" fontId="7" fillId="12" borderId="10" xfId="0" applyNumberFormat="1" applyFont="1" applyFill="1" applyBorder="1" applyAlignment="1" applyProtection="1">
      <alignment horizontal="left" vertical="center"/>
      <protection locked="0"/>
    </xf>
    <xf numFmtId="0" fontId="13" fillId="12" borderId="8" xfId="0" applyFont="1" applyFill="1" applyBorder="1" applyAlignment="1" applyProtection="1">
      <alignment horizontal="center" vertical="center"/>
      <protection locked="0"/>
    </xf>
    <xf numFmtId="0" fontId="13" fillId="12" borderId="10" xfId="0" applyFont="1" applyFill="1" applyBorder="1" applyAlignment="1" applyProtection="1">
      <alignment horizontal="center" vertical="center"/>
      <protection locked="0"/>
    </xf>
    <xf numFmtId="0" fontId="13" fillId="12" borderId="4" xfId="0" applyFont="1" applyFill="1" applyBorder="1" applyAlignment="1" applyProtection="1">
      <alignment horizontal="center" vertical="center"/>
      <protection locked="0"/>
    </xf>
    <xf numFmtId="0" fontId="7" fillId="12" borderId="8" xfId="0" applyFont="1" applyFill="1" applyBorder="1" applyAlignment="1" applyProtection="1">
      <alignment horizontal="center" vertical="top"/>
      <protection locked="0"/>
    </xf>
    <xf numFmtId="0" fontId="7" fillId="12" borderId="10" xfId="0" applyFont="1" applyFill="1" applyBorder="1" applyAlignment="1" applyProtection="1">
      <alignment horizontal="center" vertical="top"/>
      <protection locked="0"/>
    </xf>
    <xf numFmtId="0" fontId="7" fillId="12" borderId="4" xfId="0" applyFont="1" applyFill="1" applyBorder="1" applyAlignment="1" applyProtection="1">
      <alignment horizontal="center" vertical="top"/>
      <protection locked="0"/>
    </xf>
    <xf numFmtId="167" fontId="28" fillId="0" borderId="1" xfId="0" applyNumberFormat="1" applyFont="1" applyBorder="1" applyAlignment="1">
      <alignment horizontal="left" vertical="center" wrapText="1"/>
    </xf>
    <xf numFmtId="167" fontId="28" fillId="0" borderId="1" xfId="0" applyNumberFormat="1" applyFont="1" applyBorder="1" applyAlignment="1">
      <alignment vertical="center"/>
    </xf>
    <xf numFmtId="0" fontId="13" fillId="12" borderId="8" xfId="0" applyFont="1" applyFill="1" applyBorder="1" applyAlignment="1" applyProtection="1">
      <alignment horizontal="left" vertical="top" wrapText="1"/>
      <protection locked="0"/>
    </xf>
    <xf numFmtId="0" fontId="13" fillId="12" borderId="4" xfId="0" applyFont="1" applyFill="1" applyBorder="1" applyAlignment="1" applyProtection="1">
      <alignment horizontal="left" vertical="top" wrapText="1"/>
      <protection locked="0"/>
    </xf>
    <xf numFmtId="167" fontId="7" fillId="0" borderId="1" xfId="0" applyNumberFormat="1" applyFont="1" applyBorder="1" applyAlignment="1">
      <alignment horizontal="right" vertical="center" wrapText="1"/>
    </xf>
    <xf numFmtId="167" fontId="30" fillId="0" borderId="8" xfId="0" applyNumberFormat="1" applyFont="1" applyBorder="1" applyAlignment="1">
      <alignment horizontal="right" vertical="center"/>
    </xf>
    <xf numFmtId="0" fontId="22" fillId="12" borderId="10" xfId="0" applyFont="1" applyFill="1" applyBorder="1" applyAlignment="1" applyProtection="1">
      <alignment wrapText="1"/>
      <protection locked="0"/>
    </xf>
    <xf numFmtId="0" fontId="22" fillId="12" borderId="4" xfId="0" applyFont="1" applyFill="1" applyBorder="1" applyAlignment="1" applyProtection="1">
      <alignment wrapText="1"/>
      <protection locked="0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6" fontId="7" fillId="0" borderId="0" xfId="1" applyNumberFormat="1" applyFont="1" applyFill="1" applyBorder="1" applyAlignment="1" applyProtection="1">
      <alignment horizontal="right" vertical="center"/>
    </xf>
    <xf numFmtId="0" fontId="28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8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11" xfId="0" applyFont="1" applyBorder="1" applyAlignment="1">
      <alignment vertical="top"/>
    </xf>
    <xf numFmtId="0" fontId="2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1" fillId="0" borderId="0" xfId="0" applyFont="1"/>
    <xf numFmtId="0" fontId="27" fillId="11" borderId="0" xfId="0" applyFont="1" applyFill="1" applyAlignment="1">
      <alignment vertical="center"/>
    </xf>
    <xf numFmtId="0" fontId="31" fillId="11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167" fontId="28" fillId="0" borderId="8" xfId="0" applyNumberFormat="1" applyFont="1" applyBorder="1" applyAlignment="1">
      <alignment horizontal="left" vertical="center"/>
    </xf>
    <xf numFmtId="167" fontId="28" fillId="0" borderId="4" xfId="0" applyNumberFormat="1" applyFont="1" applyBorder="1" applyAlignment="1">
      <alignment horizontal="left" vertical="center"/>
    </xf>
    <xf numFmtId="0" fontId="7" fillId="12" borderId="1" xfId="0" applyFont="1" applyFill="1" applyBorder="1" applyAlignment="1" applyProtection="1">
      <alignment horizontal="center" vertical="top"/>
      <protection locked="0"/>
    </xf>
    <xf numFmtId="0" fontId="27" fillId="0" borderId="6" xfId="0" applyFont="1" applyBorder="1" applyAlignment="1" applyProtection="1">
      <alignment horizontal="right" wrapText="1"/>
      <protection locked="0"/>
    </xf>
    <xf numFmtId="0" fontId="27" fillId="0" borderId="0" xfId="0" applyFont="1" applyAlignment="1" applyProtection="1">
      <alignment horizontal="right" wrapText="1"/>
      <protection locked="0"/>
    </xf>
    <xf numFmtId="0" fontId="27" fillId="0" borderId="6" xfId="0" applyFont="1" applyBorder="1" applyAlignment="1" applyProtection="1">
      <alignment horizontal="right"/>
      <protection locked="0"/>
    </xf>
    <xf numFmtId="0" fontId="27" fillId="0" borderId="0" xfId="0" applyFont="1" applyAlignment="1" applyProtection="1">
      <alignment horizontal="right"/>
      <protection locked="0"/>
    </xf>
    <xf numFmtId="0" fontId="7" fillId="0" borderId="8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7" fontId="30" fillId="0" borderId="8" xfId="0" applyNumberFormat="1" applyFont="1" applyBorder="1" applyAlignment="1">
      <alignment horizontal="right" vertical="center"/>
    </xf>
    <xf numFmtId="167" fontId="30" fillId="0" borderId="4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left" vertical="center" wrapText="1"/>
    </xf>
    <xf numFmtId="167" fontId="28" fillId="0" borderId="1" xfId="0" applyNumberFormat="1" applyFont="1" applyBorder="1" applyAlignment="1">
      <alignment vertical="center"/>
    </xf>
    <xf numFmtId="0" fontId="28" fillId="12" borderId="9" xfId="0" applyFont="1" applyFill="1" applyBorder="1" applyAlignment="1" applyProtection="1">
      <alignment horizontal="left"/>
      <protection locked="0"/>
    </xf>
    <xf numFmtId="0" fontId="13" fillId="12" borderId="8" xfId="0" applyFont="1" applyFill="1" applyBorder="1" applyAlignment="1" applyProtection="1">
      <alignment horizontal="left" vertical="top" wrapText="1"/>
      <protection locked="0"/>
    </xf>
    <xf numFmtId="0" fontId="13" fillId="12" borderId="4" xfId="0" applyFont="1" applyFill="1" applyBorder="1" applyAlignment="1" applyProtection="1">
      <alignment horizontal="left" vertical="top" wrapText="1"/>
      <protection locked="0"/>
    </xf>
    <xf numFmtId="0" fontId="13" fillId="12" borderId="8" xfId="0" applyFont="1" applyFill="1" applyBorder="1" applyAlignment="1" applyProtection="1">
      <alignment horizontal="center" vertical="top" wrapText="1"/>
      <protection locked="0"/>
    </xf>
    <xf numFmtId="0" fontId="13" fillId="12" borderId="4" xfId="0" applyFont="1" applyFill="1" applyBorder="1" applyAlignment="1" applyProtection="1">
      <alignment horizontal="center" vertical="top" wrapText="1"/>
      <protection locked="0"/>
    </xf>
    <xf numFmtId="0" fontId="13" fillId="12" borderId="10" xfId="0" applyFont="1" applyFill="1" applyBorder="1" applyAlignment="1" applyProtection="1">
      <alignment horizontal="center" vertical="top" wrapText="1"/>
      <protection locked="0"/>
    </xf>
    <xf numFmtId="0" fontId="13" fillId="12" borderId="8" xfId="0" applyFont="1" applyFill="1" applyBorder="1" applyAlignment="1" applyProtection="1">
      <alignment horizontal="center" vertical="center"/>
      <protection locked="0"/>
    </xf>
    <xf numFmtId="0" fontId="13" fillId="12" borderId="10" xfId="0" applyFont="1" applyFill="1" applyBorder="1" applyAlignment="1" applyProtection="1">
      <alignment horizontal="center" vertical="center"/>
      <protection locked="0"/>
    </xf>
    <xf numFmtId="0" fontId="13" fillId="12" borderId="4" xfId="0" applyFont="1" applyFill="1" applyBorder="1" applyAlignment="1" applyProtection="1">
      <alignment horizontal="center" vertical="center"/>
      <protection locked="0"/>
    </xf>
    <xf numFmtId="0" fontId="7" fillId="12" borderId="8" xfId="0" applyFont="1" applyFill="1" applyBorder="1" applyAlignment="1" applyProtection="1">
      <alignment horizontal="center" vertical="top"/>
      <protection locked="0"/>
    </xf>
    <xf numFmtId="0" fontId="7" fillId="12" borderId="10" xfId="0" applyFont="1" applyFill="1" applyBorder="1" applyAlignment="1" applyProtection="1">
      <alignment horizontal="center" vertical="top"/>
      <protection locked="0"/>
    </xf>
    <xf numFmtId="0" fontId="7" fillId="12" borderId="4" xfId="0" applyFont="1" applyFill="1" applyBorder="1" applyAlignment="1" applyProtection="1">
      <alignment horizontal="center" vertical="top"/>
      <protection locked="0"/>
    </xf>
    <xf numFmtId="0" fontId="13" fillId="12" borderId="1" xfId="0" applyFont="1" applyFill="1" applyBorder="1" applyAlignment="1" applyProtection="1">
      <alignment horizontal="center" vertical="center"/>
      <protection locked="0"/>
    </xf>
    <xf numFmtId="0" fontId="7" fillId="12" borderId="10" xfId="0" applyFont="1" applyFill="1" applyBorder="1" applyAlignment="1" applyProtection="1">
      <alignment horizontal="left" vertical="center"/>
      <protection locked="0"/>
    </xf>
    <xf numFmtId="0" fontId="27" fillId="0" borderId="6" xfId="0" applyFont="1" applyBorder="1" applyAlignment="1" applyProtection="1">
      <alignment horizontal="right" vertical="center"/>
      <protection locked="0"/>
    </xf>
    <xf numFmtId="0" fontId="27" fillId="0" borderId="0" xfId="0" applyFont="1" applyAlignment="1" applyProtection="1">
      <alignment horizontal="right" vertical="center"/>
      <protection locked="0"/>
    </xf>
    <xf numFmtId="0" fontId="6" fillId="0" borderId="6" xfId="0" applyFont="1" applyBorder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horizontal="right" vertical="center" wrapText="1"/>
      <protection locked="0"/>
    </xf>
    <xf numFmtId="0" fontId="13" fillId="12" borderId="1" xfId="0" applyFont="1" applyFill="1" applyBorder="1" applyAlignment="1" applyProtection="1">
      <alignment horizontal="left" vertical="top" wrapText="1"/>
      <protection locked="0"/>
    </xf>
    <xf numFmtId="0" fontId="22" fillId="12" borderId="1" xfId="0" applyFont="1" applyFill="1" applyBorder="1" applyAlignment="1" applyProtection="1">
      <alignment wrapText="1"/>
      <protection locked="0"/>
    </xf>
    <xf numFmtId="0" fontId="12" fillId="17" borderId="19" xfId="0" applyFont="1" applyFill="1" applyBorder="1" applyAlignment="1" applyProtection="1">
      <alignment horizontal="center" vertical="center" wrapText="1"/>
      <protection locked="0"/>
    </xf>
    <xf numFmtId="0" fontId="12" fillId="17" borderId="20" xfId="0" applyFont="1" applyFill="1" applyBorder="1" applyAlignment="1" applyProtection="1">
      <alignment horizontal="center" vertical="center" wrapText="1"/>
      <protection locked="0"/>
    </xf>
    <xf numFmtId="0" fontId="12" fillId="17" borderId="21" xfId="0" applyFont="1" applyFill="1" applyBorder="1" applyAlignment="1" applyProtection="1">
      <alignment horizontal="center" vertical="center" wrapText="1"/>
      <protection locked="0"/>
    </xf>
    <xf numFmtId="0" fontId="28" fillId="12" borderId="10" xfId="0" applyFont="1" applyFill="1" applyBorder="1" applyAlignment="1" applyProtection="1">
      <alignment horizontal="left"/>
      <protection locked="0"/>
    </xf>
    <xf numFmtId="0" fontId="34" fillId="17" borderId="22" xfId="0" applyFont="1" applyFill="1" applyBorder="1" applyAlignment="1" applyProtection="1">
      <alignment horizontal="center" vertical="center" wrapText="1"/>
      <protection locked="0"/>
    </xf>
    <xf numFmtId="0" fontId="34" fillId="17" borderId="23" xfId="0" applyFont="1" applyFill="1" applyBorder="1" applyAlignment="1" applyProtection="1">
      <alignment horizontal="center" vertical="center" wrapText="1"/>
      <protection locked="0"/>
    </xf>
    <xf numFmtId="0" fontId="6" fillId="11" borderId="24" xfId="0" applyFont="1" applyFill="1" applyBorder="1" applyAlignment="1" applyProtection="1">
      <alignment horizontal="left" vertical="top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6" fillId="11" borderId="5" xfId="0" applyFont="1" applyFill="1" applyBorder="1" applyAlignment="1" applyProtection="1">
      <alignment horizontal="left" vertical="top" wrapText="1"/>
      <protection locked="0"/>
    </xf>
    <xf numFmtId="0" fontId="6" fillId="11" borderId="10" xfId="0" applyFont="1" applyFill="1" applyBorder="1" applyAlignment="1" applyProtection="1">
      <alignment horizontal="left" vertical="top" wrapText="1"/>
      <protection locked="0"/>
    </xf>
    <xf numFmtId="0" fontId="29" fillId="12" borderId="13" xfId="0" applyFont="1" applyFill="1" applyBorder="1" applyAlignment="1" applyProtection="1">
      <alignment horizontal="center" vertical="center"/>
      <protection locked="0"/>
    </xf>
    <xf numFmtId="0" fontId="29" fillId="12" borderId="14" xfId="0" applyFont="1" applyFill="1" applyBorder="1" applyAlignment="1" applyProtection="1">
      <alignment horizontal="center" vertical="center"/>
      <protection locked="0"/>
    </xf>
    <xf numFmtId="0" fontId="29" fillId="12" borderId="15" xfId="0" applyFont="1" applyFill="1" applyBorder="1" applyAlignment="1" applyProtection="1">
      <alignment horizontal="center" vertical="center"/>
      <protection locked="0"/>
    </xf>
    <xf numFmtId="0" fontId="29" fillId="12" borderId="16" xfId="0" applyFont="1" applyFill="1" applyBorder="1" applyAlignment="1" applyProtection="1">
      <alignment horizontal="center" vertical="center"/>
      <protection locked="0"/>
    </xf>
    <xf numFmtId="0" fontId="29" fillId="12" borderId="0" xfId="0" applyFont="1" applyFill="1" applyAlignment="1" applyProtection="1">
      <alignment horizontal="center" vertical="center"/>
      <protection locked="0"/>
    </xf>
    <xf numFmtId="0" fontId="29" fillId="12" borderId="11" xfId="0" applyFont="1" applyFill="1" applyBorder="1" applyAlignment="1" applyProtection="1">
      <alignment horizontal="center" vertical="center"/>
      <protection locked="0"/>
    </xf>
    <xf numFmtId="0" fontId="29" fillId="12" borderId="17" xfId="0" applyFont="1" applyFill="1" applyBorder="1" applyAlignment="1" applyProtection="1">
      <alignment horizontal="center" vertical="center"/>
      <protection locked="0"/>
    </xf>
    <xf numFmtId="0" fontId="29" fillId="12" borderId="9" xfId="0" applyFont="1" applyFill="1" applyBorder="1" applyAlignment="1" applyProtection="1">
      <alignment horizontal="center" vertical="center"/>
      <protection locked="0"/>
    </xf>
    <xf numFmtId="0" fontId="29" fillId="12" borderId="18" xfId="0" applyFont="1" applyFill="1" applyBorder="1" applyAlignment="1" applyProtection="1">
      <alignment horizontal="center" vertical="center"/>
      <protection locked="0"/>
    </xf>
    <xf numFmtId="166" fontId="7" fillId="0" borderId="0" xfId="1" applyNumberFormat="1" applyFont="1" applyFill="1" applyBorder="1" applyAlignment="1" applyProtection="1">
      <alignment horizontal="right" vertical="center"/>
    </xf>
    <xf numFmtId="0" fontId="33" fillId="16" borderId="0" xfId="3" applyFont="1" applyFill="1" applyBorder="1" applyAlignment="1" applyProtection="1">
      <alignment horizontal="left" vertical="center" wrapText="1"/>
      <protection locked="0"/>
    </xf>
    <xf numFmtId="0" fontId="7" fillId="12" borderId="9" xfId="0" applyFont="1" applyFill="1" applyBorder="1" applyAlignment="1" applyProtection="1">
      <alignment horizontal="left" vertical="center"/>
      <protection locked="0"/>
    </xf>
    <xf numFmtId="14" fontId="7" fillId="12" borderId="9" xfId="0" applyNumberFormat="1" applyFont="1" applyFill="1" applyBorder="1" applyAlignment="1" applyProtection="1">
      <alignment horizontal="left" vertical="center"/>
      <protection locked="0"/>
    </xf>
    <xf numFmtId="14" fontId="7" fillId="12" borderId="10" xfId="0" applyNumberFormat="1" applyFont="1" applyFill="1" applyBorder="1" applyAlignment="1" applyProtection="1">
      <alignment horizontal="left" vertical="center"/>
      <protection locked="0"/>
    </xf>
    <xf numFmtId="0" fontId="28" fillId="12" borderId="9" xfId="0" applyFont="1" applyFill="1" applyBorder="1" applyAlignment="1" applyProtection="1">
      <alignment horizontal="left" vertical="center"/>
      <protection locked="0"/>
    </xf>
    <xf numFmtId="167" fontId="28" fillId="0" borderId="8" xfId="0" applyNumberFormat="1" applyFont="1" applyBorder="1" applyAlignment="1">
      <alignment horizontal="center" vertical="center" wrapText="1"/>
    </xf>
    <xf numFmtId="167" fontId="28" fillId="0" borderId="4" xfId="0" applyNumberFormat="1" applyFont="1" applyBorder="1" applyAlignment="1">
      <alignment horizontal="center" vertical="center" wrapText="1"/>
    </xf>
    <xf numFmtId="0" fontId="22" fillId="0" borderId="20" xfId="0" applyFont="1" applyBorder="1" applyAlignment="1" applyProtection="1">
      <alignment wrapText="1"/>
      <protection locked="0"/>
    </xf>
    <xf numFmtId="0" fontId="22" fillId="0" borderId="21" xfId="0" applyFont="1" applyBorder="1" applyAlignment="1" applyProtection="1">
      <alignment wrapText="1"/>
      <protection locked="0"/>
    </xf>
    <xf numFmtId="167" fontId="28" fillId="11" borderId="8" xfId="0" applyNumberFormat="1" applyFont="1" applyFill="1" applyBorder="1" applyAlignment="1">
      <alignment horizontal="center" vertical="center" wrapText="1"/>
    </xf>
    <xf numFmtId="167" fontId="28" fillId="11" borderId="10" xfId="0" applyNumberFormat="1" applyFont="1" applyFill="1" applyBorder="1" applyAlignment="1">
      <alignment horizontal="center" vertical="center" wrapText="1"/>
    </xf>
    <xf numFmtId="167" fontId="28" fillId="11" borderId="4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6" fillId="11" borderId="1" xfId="0" applyFont="1" applyFill="1" applyBorder="1" applyAlignment="1" applyProtection="1">
      <alignment horizontal="left" vertical="center" wrapText="1"/>
      <protection locked="0"/>
    </xf>
    <xf numFmtId="0" fontId="28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vertical="center" wrapText="1"/>
    </xf>
    <xf numFmtId="167" fontId="7" fillId="0" borderId="8" xfId="0" applyNumberFormat="1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left" vertical="center"/>
    </xf>
    <xf numFmtId="167" fontId="7" fillId="11" borderId="8" xfId="0" applyNumberFormat="1" applyFont="1" applyFill="1" applyBorder="1" applyAlignment="1">
      <alignment horizontal="center" vertical="center"/>
    </xf>
    <xf numFmtId="167" fontId="7" fillId="11" borderId="10" xfId="0" applyNumberFormat="1" applyFont="1" applyFill="1" applyBorder="1" applyAlignment="1">
      <alignment horizontal="center" vertical="center"/>
    </xf>
    <xf numFmtId="167" fontId="7" fillId="11" borderId="4" xfId="0" applyNumberFormat="1" applyFont="1" applyFill="1" applyBorder="1" applyAlignment="1">
      <alignment horizontal="center" vertical="center"/>
    </xf>
    <xf numFmtId="167" fontId="27" fillId="11" borderId="8" xfId="0" applyNumberFormat="1" applyFont="1" applyFill="1" applyBorder="1" applyAlignment="1">
      <alignment horizontal="left" vertical="center"/>
    </xf>
    <xf numFmtId="167" fontId="27" fillId="11" borderId="10" xfId="0" applyNumberFormat="1" applyFont="1" applyFill="1" applyBorder="1" applyAlignment="1">
      <alignment horizontal="left" vertical="center"/>
    </xf>
    <xf numFmtId="167" fontId="27" fillId="11" borderId="4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6" fillId="0" borderId="1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12" borderId="9" xfId="0" applyNumberFormat="1" applyFont="1" applyFill="1" applyBorder="1" applyAlignment="1" applyProtection="1">
      <alignment horizontal="left" vertical="center"/>
      <protection locked="0"/>
    </xf>
    <xf numFmtId="0" fontId="27" fillId="11" borderId="0" xfId="0" applyFont="1" applyFill="1" applyAlignment="1" applyProtection="1">
      <alignment horizontal="left" vertical="center"/>
      <protection locked="0"/>
    </xf>
    <xf numFmtId="0" fontId="6" fillId="14" borderId="0" xfId="0" applyFont="1" applyFill="1" applyAlignment="1" applyProtection="1">
      <alignment horizontal="center" vertical="center"/>
      <protection locked="0"/>
    </xf>
    <xf numFmtId="0" fontId="28" fillId="12" borderId="10" xfId="0" applyFont="1" applyFill="1" applyBorder="1" applyAlignment="1" applyProtection="1">
      <alignment horizontal="left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28" fillId="0" borderId="12" xfId="0" applyFont="1" applyBorder="1" applyAlignment="1" applyProtection="1">
      <alignment vertical="center"/>
      <protection locked="0"/>
    </xf>
    <xf numFmtId="0" fontId="27" fillId="11" borderId="0" xfId="0" applyFont="1" applyFill="1" applyAlignment="1">
      <alignment horizontal="left" vertical="center"/>
    </xf>
    <xf numFmtId="0" fontId="4" fillId="2" borderId="1" xfId="0" applyFont="1" applyFill="1" applyBorder="1" applyAlignment="1" applyProtection="1">
      <alignment vertical="center"/>
      <protection locked="0"/>
    </xf>
    <xf numFmtId="0" fontId="16" fillId="15" borderId="13" xfId="0" applyFont="1" applyFill="1" applyBorder="1" applyAlignment="1">
      <alignment horizontal="left" vertical="center" wrapText="1"/>
    </xf>
    <xf numFmtId="0" fontId="16" fillId="15" borderId="14" xfId="0" applyFont="1" applyFill="1" applyBorder="1" applyAlignment="1">
      <alignment horizontal="left" vertical="center" wrapText="1"/>
    </xf>
    <xf numFmtId="0" fontId="16" fillId="15" borderId="15" xfId="0" applyFont="1" applyFill="1" applyBorder="1" applyAlignment="1">
      <alignment horizontal="left" vertical="center" wrapText="1"/>
    </xf>
    <xf numFmtId="0" fontId="16" fillId="15" borderId="16" xfId="0" applyFont="1" applyFill="1" applyBorder="1" applyAlignment="1">
      <alignment horizontal="left" vertical="center" wrapText="1"/>
    </xf>
    <xf numFmtId="0" fontId="16" fillId="15" borderId="0" xfId="0" applyFont="1" applyFill="1" applyAlignment="1">
      <alignment horizontal="left" vertical="center" wrapText="1"/>
    </xf>
    <xf numFmtId="0" fontId="16" fillId="15" borderId="11" xfId="0" applyFont="1" applyFill="1" applyBorder="1" applyAlignment="1">
      <alignment horizontal="left" vertical="center" wrapText="1"/>
    </xf>
    <xf numFmtId="0" fontId="16" fillId="15" borderId="17" xfId="0" applyFont="1" applyFill="1" applyBorder="1" applyAlignment="1">
      <alignment horizontal="left" vertical="center" wrapText="1"/>
    </xf>
    <xf numFmtId="0" fontId="16" fillId="15" borderId="9" xfId="0" applyFont="1" applyFill="1" applyBorder="1" applyAlignment="1">
      <alignment horizontal="left" vertical="center" wrapText="1"/>
    </xf>
    <xf numFmtId="0" fontId="16" fillId="15" borderId="18" xfId="0" applyFont="1" applyFill="1" applyBorder="1" applyAlignment="1">
      <alignment horizontal="left" vertical="center" wrapText="1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32" fillId="11" borderId="13" xfId="3" applyFont="1" applyFill="1" applyBorder="1" applyAlignment="1" applyProtection="1">
      <alignment horizontal="left" vertical="top" wrapText="1"/>
    </xf>
    <xf numFmtId="0" fontId="19" fillId="11" borderId="14" xfId="3" applyFill="1" applyBorder="1" applyAlignment="1" applyProtection="1">
      <alignment horizontal="left" vertical="top" wrapText="1"/>
    </xf>
    <xf numFmtId="0" fontId="19" fillId="11" borderId="15" xfId="3" applyFill="1" applyBorder="1" applyAlignment="1" applyProtection="1">
      <alignment horizontal="left" vertical="top" wrapText="1"/>
    </xf>
    <xf numFmtId="0" fontId="19" fillId="11" borderId="16" xfId="3" applyFill="1" applyBorder="1" applyAlignment="1" applyProtection="1">
      <alignment horizontal="left" vertical="top" wrapText="1"/>
    </xf>
    <xf numFmtId="0" fontId="19" fillId="11" borderId="0" xfId="3" applyFill="1" applyBorder="1" applyAlignment="1" applyProtection="1">
      <alignment horizontal="left" vertical="top" wrapText="1"/>
    </xf>
    <xf numFmtId="0" fontId="19" fillId="11" borderId="11" xfId="3" applyFill="1" applyBorder="1" applyAlignment="1" applyProtection="1">
      <alignment horizontal="left" vertical="top" wrapText="1"/>
    </xf>
    <xf numFmtId="0" fontId="19" fillId="11" borderId="17" xfId="3" applyFill="1" applyBorder="1" applyAlignment="1" applyProtection="1">
      <alignment horizontal="left" vertical="top" wrapText="1"/>
    </xf>
    <xf numFmtId="0" fontId="19" fillId="11" borderId="9" xfId="3" applyFill="1" applyBorder="1" applyAlignment="1" applyProtection="1">
      <alignment horizontal="left" vertical="top" wrapText="1"/>
    </xf>
    <xf numFmtId="0" fontId="19" fillId="11" borderId="18" xfId="3" applyFill="1" applyBorder="1" applyAlignment="1" applyProtection="1">
      <alignment horizontal="left" vertical="top" wrapText="1"/>
    </xf>
    <xf numFmtId="0" fontId="28" fillId="0" borderId="9" xfId="0" applyFont="1" applyBorder="1" applyAlignment="1" applyProtection="1">
      <alignment horizontal="left"/>
      <protection locked="0"/>
    </xf>
    <xf numFmtId="0" fontId="28" fillId="0" borderId="9" xfId="0" applyFont="1" applyBorder="1" applyAlignment="1" applyProtection="1">
      <alignment horizontal="center"/>
      <protection locked="0"/>
    </xf>
    <xf numFmtId="0" fontId="28" fillId="0" borderId="10" xfId="0" applyFont="1" applyBorder="1" applyAlignment="1" applyProtection="1">
      <alignment horizontal="center" vertical="center" wrapText="1"/>
      <protection locked="0"/>
    </xf>
    <xf numFmtId="0" fontId="28" fillId="0" borderId="4" xfId="0" applyFont="1" applyBorder="1" applyAlignment="1" applyProtection="1">
      <alignment horizontal="center" vertical="center" wrapText="1"/>
      <protection locked="0"/>
    </xf>
    <xf numFmtId="167" fontId="7" fillId="0" borderId="1" xfId="0" applyNumberFormat="1" applyFont="1" applyBorder="1" applyAlignment="1">
      <alignment horizontal="right" vertical="center" wrapText="1"/>
    </xf>
    <xf numFmtId="167" fontId="28" fillId="0" borderId="1" xfId="0" applyNumberFormat="1" applyFont="1" applyBorder="1" applyAlignment="1">
      <alignment horizontal="right" vertical="center" wrapText="1"/>
    </xf>
  </cellXfs>
  <cellStyles count="6">
    <cellStyle name="Comma" xfId="1" builtinId="3"/>
    <cellStyle name="Currency" xfId="2" builtinId="4"/>
    <cellStyle name="Hyperlink" xfId="3" builtinId="8"/>
    <cellStyle name="Normal" xfId="0" builtinId="0"/>
    <cellStyle name="Normal 119" xfId="4" xr:uid="{0BE02751-7918-4629-93BD-D9A08184AA97}"/>
    <cellStyle name="Normal 130" xfId="5" xr:uid="{9544B191-97E8-48E5-8B7A-3888A4188E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sheltersouthsudan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66675</xdr:rowOff>
    </xdr:from>
    <xdr:to>
      <xdr:col>4</xdr:col>
      <xdr:colOff>66675</xdr:colOff>
      <xdr:row>1</xdr:row>
      <xdr:rowOff>9525</xdr:rowOff>
    </xdr:to>
    <xdr:pic>
      <xdr:nvPicPr>
        <xdr:cNvPr id="103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B2FD9-D411-3D4C-8CA5-88A9ED61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6675"/>
          <a:ext cx="46482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csouthsudan-pipeline@googlegroups.com?subject=Pipeline%20Request" TargetMode="External"/><Relationship Id="rId1" Type="http://schemas.openxmlformats.org/officeDocument/2006/relationships/hyperlink" Target="https://docs.google.com/spreadsheets/d/1ff141zknxzpkaOvn_nfont8E_LJmjxuaGG5pGAVI3uQ/edit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97FB-4F79-4C99-A2E3-A4198845FAF5}">
  <sheetPr>
    <pageSetUpPr fitToPage="1"/>
  </sheetPr>
  <dimension ref="A1:P89"/>
  <sheetViews>
    <sheetView showGridLines="0" tabSelected="1" showWhiteSpace="0" view="pageBreakPreview" zoomScale="70" zoomScaleNormal="70" zoomScaleSheetLayoutView="70" zoomScalePageLayoutView="70" workbookViewId="0">
      <selection activeCell="H84" sqref="H84"/>
    </sheetView>
  </sheetViews>
  <sheetFormatPr defaultColWidth="8.81640625" defaultRowHeight="15.5" x14ac:dyDescent="0.35"/>
  <cols>
    <col min="1" max="1" width="32.7265625" style="3" customWidth="1"/>
    <col min="2" max="2" width="13.54296875" style="3" customWidth="1"/>
    <col min="3" max="3" width="4.1796875" style="3" customWidth="1"/>
    <col min="4" max="4" width="18.453125" style="3" customWidth="1"/>
    <col min="5" max="5" width="3.7265625" style="3" customWidth="1"/>
    <col min="6" max="6" width="3.453125" style="3" customWidth="1"/>
    <col min="7" max="7" width="11.1796875" style="3" customWidth="1"/>
    <col min="8" max="8" width="15.81640625" style="3" customWidth="1"/>
    <col min="9" max="9" width="1.26953125" style="3" customWidth="1"/>
    <col min="10" max="10" width="14.54296875" style="3" customWidth="1"/>
    <col min="11" max="11" width="19.81640625" style="3" customWidth="1"/>
    <col min="12" max="12" width="18.1796875" style="3" customWidth="1"/>
    <col min="13" max="13" width="5.26953125" style="3" customWidth="1"/>
    <col min="14" max="15" width="9.453125" style="3" customWidth="1"/>
    <col min="16" max="16" width="4" style="3" customWidth="1"/>
    <col min="17" max="16384" width="8.81640625" style="3"/>
  </cols>
  <sheetData>
    <row r="1" spans="1:16" ht="66" customHeight="1" thickBot="1" x14ac:dyDescent="0.4">
      <c r="A1" s="26"/>
      <c r="B1" s="27"/>
      <c r="C1" s="27"/>
      <c r="D1" s="191" t="s">
        <v>0</v>
      </c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6" ht="13.5" customHeight="1" thickTop="1" x14ac:dyDescent="0.35"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6" ht="16.5" customHeight="1" x14ac:dyDescent="0.35">
      <c r="A3" s="222" t="s">
        <v>1</v>
      </c>
      <c r="B3" s="223"/>
      <c r="C3" s="223"/>
      <c r="D3" s="223"/>
      <c r="E3" s="224"/>
      <c r="F3" s="2"/>
      <c r="G3" s="203" t="s">
        <v>2</v>
      </c>
      <c r="H3" s="203"/>
      <c r="I3" s="203"/>
      <c r="J3" s="203"/>
      <c r="K3" s="203"/>
      <c r="L3" s="203"/>
      <c r="M3" s="203"/>
      <c r="N3" s="203"/>
      <c r="O3" s="203"/>
    </row>
    <row r="4" spans="1:16" ht="16.5" customHeight="1" x14ac:dyDescent="0.35">
      <c r="A4" s="225"/>
      <c r="B4" s="226"/>
      <c r="C4" s="226"/>
      <c r="D4" s="226"/>
      <c r="E4" s="227"/>
      <c r="F4" s="2"/>
      <c r="G4" s="204" t="s">
        <v>3</v>
      </c>
      <c r="H4" s="205"/>
      <c r="I4" s="206"/>
      <c r="J4" s="213"/>
      <c r="K4" s="214"/>
      <c r="L4" s="214"/>
      <c r="M4" s="214"/>
      <c r="N4" s="214"/>
      <c r="O4" s="215"/>
    </row>
    <row r="5" spans="1:16" ht="41.25" customHeight="1" x14ac:dyDescent="0.35">
      <c r="A5" s="225"/>
      <c r="B5" s="226"/>
      <c r="C5" s="226"/>
      <c r="D5" s="226"/>
      <c r="E5" s="227"/>
      <c r="F5" s="2"/>
      <c r="G5" s="207"/>
      <c r="H5" s="208"/>
      <c r="I5" s="209"/>
      <c r="J5" s="216"/>
      <c r="K5" s="217"/>
      <c r="L5" s="217"/>
      <c r="M5" s="217"/>
      <c r="N5" s="217"/>
      <c r="O5" s="218"/>
    </row>
    <row r="6" spans="1:16" ht="36" customHeight="1" x14ac:dyDescent="0.35">
      <c r="A6" s="228"/>
      <c r="B6" s="229"/>
      <c r="C6" s="229"/>
      <c r="D6" s="229"/>
      <c r="E6" s="230"/>
      <c r="F6" s="2"/>
      <c r="G6" s="210"/>
      <c r="H6" s="211"/>
      <c r="I6" s="212"/>
      <c r="J6" s="219"/>
      <c r="K6" s="220"/>
      <c r="L6" s="220"/>
      <c r="M6" s="220"/>
      <c r="N6" s="220"/>
      <c r="O6" s="221"/>
    </row>
    <row r="7" spans="1:16" ht="9.75" customHeight="1" x14ac:dyDescent="0.35">
      <c r="A7" s="103"/>
      <c r="B7" s="93"/>
      <c r="C7" s="93"/>
      <c r="D7" s="93"/>
      <c r="E7" s="93"/>
      <c r="F7" s="93"/>
      <c r="G7" s="93"/>
      <c r="H7" s="93"/>
      <c r="I7" s="93"/>
      <c r="J7" s="103"/>
      <c r="K7" s="103"/>
      <c r="L7" s="103"/>
      <c r="M7" s="103"/>
      <c r="N7" s="103"/>
      <c r="O7" s="103"/>
    </row>
    <row r="8" spans="1:16" ht="18" x14ac:dyDescent="0.35">
      <c r="A8" s="104" t="s">
        <v>4</v>
      </c>
      <c r="B8" s="104"/>
      <c r="C8" s="105"/>
      <c r="D8" s="105"/>
      <c r="E8" s="105"/>
      <c r="F8" s="105"/>
      <c r="G8" s="105"/>
      <c r="H8" s="105"/>
      <c r="I8" s="105"/>
      <c r="J8" s="202" t="s">
        <v>5</v>
      </c>
      <c r="K8" s="202"/>
      <c r="L8" s="202"/>
      <c r="M8" s="202"/>
      <c r="N8" s="202"/>
      <c r="O8" s="202"/>
    </row>
    <row r="9" spans="1:16" ht="18" x14ac:dyDescent="0.35">
      <c r="A9" s="180" t="s">
        <v>6</v>
      </c>
      <c r="B9" s="180"/>
      <c r="C9" s="199"/>
      <c r="D9" s="199"/>
      <c r="E9" s="199"/>
      <c r="F9" s="199"/>
      <c r="G9" s="199"/>
      <c r="H9" s="199"/>
      <c r="I9" s="29"/>
      <c r="J9" s="180" t="s">
        <v>7</v>
      </c>
      <c r="K9" s="180"/>
      <c r="L9" s="69"/>
      <c r="M9" s="69"/>
      <c r="N9" s="69"/>
      <c r="O9" s="69"/>
    </row>
    <row r="10" spans="1:16" ht="18" x14ac:dyDescent="0.35">
      <c r="A10" s="180" t="s">
        <v>8</v>
      </c>
      <c r="B10" s="180"/>
      <c r="C10" s="170"/>
      <c r="D10" s="170"/>
      <c r="E10" s="170"/>
      <c r="F10" s="170"/>
      <c r="G10" s="170"/>
      <c r="H10" s="170"/>
      <c r="I10" s="29"/>
      <c r="J10" s="180" t="s">
        <v>9</v>
      </c>
      <c r="K10" s="180"/>
      <c r="L10" s="70"/>
      <c r="M10" s="70"/>
      <c r="N10" s="70"/>
      <c r="O10" s="70"/>
      <c r="P10" s="5"/>
    </row>
    <row r="11" spans="1:16" ht="18" x14ac:dyDescent="0.35">
      <c r="A11" s="102" t="s">
        <v>10</v>
      </c>
      <c r="B11" s="102"/>
      <c r="C11" s="199"/>
      <c r="D11" s="199"/>
      <c r="E11" s="199"/>
      <c r="F11" s="199"/>
      <c r="G11" s="199"/>
      <c r="H11" s="199"/>
      <c r="I11" s="29"/>
      <c r="J11" s="180" t="s">
        <v>11</v>
      </c>
      <c r="K11" s="180" t="s">
        <v>12</v>
      </c>
      <c r="L11" s="194" t="s">
        <v>13</v>
      </c>
      <c r="M11" s="194"/>
      <c r="N11" s="194"/>
      <c r="O11" s="194"/>
      <c r="P11" s="5"/>
    </row>
    <row r="12" spans="1:16" ht="18" x14ac:dyDescent="0.35">
      <c r="A12" s="180" t="s">
        <v>14</v>
      </c>
      <c r="B12" s="180"/>
      <c r="C12" s="170"/>
      <c r="D12" s="170"/>
      <c r="E12" s="170"/>
      <c r="F12" s="170"/>
      <c r="G12" s="170"/>
      <c r="H12" s="170"/>
      <c r="I12" s="29"/>
      <c r="J12" s="180" t="s">
        <v>15</v>
      </c>
      <c r="K12" s="180"/>
      <c r="L12" s="195" t="s">
        <v>16</v>
      </c>
      <c r="M12" s="195"/>
      <c r="N12" s="195"/>
      <c r="O12" s="195"/>
      <c r="P12" s="4"/>
    </row>
    <row r="13" spans="1:16" ht="18" x14ac:dyDescent="0.35">
      <c r="A13" s="180" t="s">
        <v>17</v>
      </c>
      <c r="B13" s="180"/>
      <c r="C13" s="170"/>
      <c r="D13" s="170"/>
      <c r="E13" s="170"/>
      <c r="F13" s="170"/>
      <c r="G13" s="170"/>
      <c r="H13" s="170"/>
      <c r="I13" s="29"/>
      <c r="J13" s="180" t="s">
        <v>18</v>
      </c>
      <c r="K13" s="180"/>
      <c r="L13" s="67"/>
      <c r="M13" s="31" t="s">
        <v>19</v>
      </c>
      <c r="N13" s="198"/>
      <c r="O13" s="198"/>
    </row>
    <row r="14" spans="1:16" ht="18" x14ac:dyDescent="0.35">
      <c r="A14" s="180" t="s">
        <v>20</v>
      </c>
      <c r="B14" s="180"/>
      <c r="C14" s="170"/>
      <c r="D14" s="170"/>
      <c r="E14" s="170"/>
      <c r="F14" s="170"/>
      <c r="G14" s="170"/>
      <c r="H14" s="170"/>
      <c r="I14" s="29"/>
      <c r="J14" s="180" t="s">
        <v>21</v>
      </c>
      <c r="K14" s="180"/>
      <c r="L14" s="196"/>
      <c r="M14" s="196"/>
      <c r="N14" s="196"/>
      <c r="O14" s="196"/>
    </row>
    <row r="15" spans="1:16" ht="18" x14ac:dyDescent="0.35">
      <c r="A15" s="180" t="s">
        <v>22</v>
      </c>
      <c r="B15" s="180"/>
      <c r="C15" s="170"/>
      <c r="D15" s="170"/>
      <c r="E15" s="170"/>
      <c r="F15" s="170"/>
      <c r="G15" s="170"/>
      <c r="H15" s="170"/>
      <c r="I15" s="29"/>
      <c r="J15" s="103"/>
      <c r="K15" s="103"/>
      <c r="L15" s="103"/>
      <c r="M15" s="103"/>
      <c r="N15" s="103"/>
      <c r="O15" s="103"/>
    </row>
    <row r="16" spans="1:16" ht="8.25" customHeight="1" x14ac:dyDescent="0.35">
      <c r="B16" s="32"/>
      <c r="C16" s="32"/>
      <c r="D16" s="32"/>
      <c r="E16" s="32"/>
      <c r="F16" s="32"/>
      <c r="G16" s="32"/>
      <c r="H16" s="32"/>
      <c r="I16" s="33"/>
      <c r="J16" s="106"/>
      <c r="K16" s="106"/>
      <c r="L16" s="106"/>
      <c r="M16" s="103"/>
      <c r="N16" s="103"/>
      <c r="O16" s="103"/>
    </row>
    <row r="17" spans="1:15" ht="18" x14ac:dyDescent="0.35">
      <c r="A17" s="197" t="s">
        <v>23</v>
      </c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</row>
    <row r="18" spans="1:15" ht="18" x14ac:dyDescent="0.35">
      <c r="A18" s="180" t="s">
        <v>24</v>
      </c>
      <c r="B18" s="180"/>
      <c r="C18" s="170"/>
      <c r="D18" s="170"/>
      <c r="E18" s="170"/>
      <c r="F18" s="170"/>
      <c r="G18" s="170"/>
      <c r="H18" s="170"/>
      <c r="I18" s="2"/>
      <c r="J18" s="166" t="s">
        <v>25</v>
      </c>
      <c r="K18" s="166"/>
      <c r="L18" s="166"/>
      <c r="M18" s="166"/>
      <c r="N18" s="166"/>
      <c r="O18" s="166"/>
    </row>
    <row r="19" spans="1:15" ht="18" x14ac:dyDescent="0.35">
      <c r="A19" s="180" t="s">
        <v>26</v>
      </c>
      <c r="B19" s="180"/>
      <c r="C19" s="170"/>
      <c r="D19" s="170"/>
      <c r="E19" s="170"/>
      <c r="F19" s="170"/>
      <c r="G19" s="170"/>
      <c r="H19" s="170"/>
      <c r="I19" s="2"/>
      <c r="J19" s="166"/>
      <c r="K19" s="166"/>
      <c r="L19" s="166"/>
      <c r="M19" s="166"/>
      <c r="N19" s="166"/>
      <c r="O19" s="166"/>
    </row>
    <row r="20" spans="1:15" ht="18" x14ac:dyDescent="0.35">
      <c r="A20" s="180" t="s">
        <v>27</v>
      </c>
      <c r="B20" s="180"/>
      <c r="C20" s="170"/>
      <c r="D20" s="170"/>
      <c r="E20" s="170"/>
      <c r="F20" s="170"/>
      <c r="G20" s="170"/>
      <c r="H20" s="170"/>
      <c r="I20" s="29"/>
      <c r="J20" s="166"/>
      <c r="K20" s="166"/>
      <c r="L20" s="166"/>
      <c r="M20" s="166"/>
      <c r="N20" s="166"/>
      <c r="O20" s="166"/>
    </row>
    <row r="21" spans="1:15" x14ac:dyDescent="0.35">
      <c r="A21" s="107"/>
      <c r="B21" s="103"/>
      <c r="D21" s="92"/>
      <c r="E21" s="92"/>
      <c r="F21" s="93"/>
      <c r="G21" s="93"/>
      <c r="H21" s="93"/>
      <c r="I21" s="29"/>
      <c r="J21" s="166"/>
      <c r="K21" s="166"/>
      <c r="L21" s="166"/>
      <c r="M21" s="166"/>
      <c r="N21" s="166"/>
      <c r="O21" s="166"/>
    </row>
    <row r="22" spans="1:15" s="29" customFormat="1" ht="24.75" customHeight="1" x14ac:dyDescent="0.35">
      <c r="A22" s="178" t="s">
        <v>28</v>
      </c>
      <c r="B22" s="178"/>
      <c r="C22" s="34"/>
      <c r="D22" s="108"/>
      <c r="E22" s="108"/>
      <c r="F22" s="108"/>
      <c r="G22" s="108"/>
      <c r="H22" s="108"/>
      <c r="I22" s="35"/>
      <c r="J22" s="108"/>
      <c r="K22" s="108"/>
      <c r="L22" s="193"/>
      <c r="M22" s="193"/>
      <c r="N22" s="193"/>
      <c r="O22" s="193"/>
    </row>
    <row r="23" spans="1:15" s="29" customFormat="1" ht="62.25" customHeight="1" x14ac:dyDescent="0.35">
      <c r="A23" s="36" t="s">
        <v>29</v>
      </c>
      <c r="B23" s="37" t="s">
        <v>30</v>
      </c>
      <c r="C23" s="38"/>
      <c r="D23" s="39" t="s">
        <v>31</v>
      </c>
      <c r="E23" s="200" t="s">
        <v>32</v>
      </c>
      <c r="F23" s="233"/>
      <c r="G23" s="234"/>
      <c r="H23" s="39" t="s">
        <v>33</v>
      </c>
      <c r="I23" s="200" t="s">
        <v>34</v>
      </c>
      <c r="J23" s="201"/>
      <c r="K23" s="40" t="s">
        <v>35</v>
      </c>
      <c r="L23" s="36" t="s">
        <v>36</v>
      </c>
      <c r="M23" s="85"/>
      <c r="N23" s="192"/>
      <c r="O23" s="192"/>
    </row>
    <row r="24" spans="1:15" s="29" customFormat="1" ht="18" x14ac:dyDescent="0.35">
      <c r="A24" s="179" t="s">
        <v>37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86"/>
      <c r="N24" s="86"/>
      <c r="O24" s="86"/>
    </row>
    <row r="25" spans="1:15" s="29" customFormat="1" ht="18" x14ac:dyDescent="0.35">
      <c r="A25" s="58"/>
      <c r="B25" s="109" t="str">
        <f>IFERROR(VLOOKUP(A25,'NFI dimensions'!$A$1:$J$22,3,FALSE),"")</f>
        <v/>
      </c>
      <c r="C25" s="110"/>
      <c r="D25" s="59"/>
      <c r="E25" s="181" t="str">
        <f>IF(D25="","",IFERROR(D25/VLOOKUP(A25,'NFI dimensions'!$A$2:$J$22,4,0),""))</f>
        <v/>
      </c>
      <c r="F25" s="182"/>
      <c r="G25" s="182"/>
      <c r="H25" s="64" t="str">
        <f>IFERROR(E25*VLOOKUP(A25,'NFI dimensions'!$A$2:$J$22,8,FALSE),"")</f>
        <v/>
      </c>
      <c r="I25" s="116" t="str">
        <f>IFERROR(E25*VLOOKUP(A25,'NFI dimensions'!$A$2:$J$22,9,FALSE),"")</f>
        <v/>
      </c>
      <c r="J25" s="117"/>
      <c r="K25" s="65" t="str">
        <f>IFERROR(D25*VLOOKUP(A25,'NFI dimensions'!$A$2:$J$22,10,FALSE),"")</f>
        <v/>
      </c>
      <c r="L25" s="66" t="str">
        <f t="shared" ref="L25:L36" si="0">IFERROR(IF($L$12="",0,IF($L$12="Road",H25/1000*750,IF($L$12="Air",H25/1000*2000))),"")</f>
        <v/>
      </c>
      <c r="M25" s="87"/>
      <c r="N25" s="165"/>
      <c r="O25" s="165"/>
    </row>
    <row r="26" spans="1:15" s="29" customFormat="1" ht="18" x14ac:dyDescent="0.35">
      <c r="A26" s="58"/>
      <c r="B26" s="109" t="str">
        <f>IFERROR(VLOOKUP(A26,'NFI dimensions'!$A$1:$J$22,3,FALSE),"")</f>
        <v/>
      </c>
      <c r="C26" s="110"/>
      <c r="D26" s="59"/>
      <c r="E26" s="181" t="str">
        <f>IF(D26="","",IFERROR(D26/VLOOKUP(A26,'NFI dimensions'!$A$2:$J$22,4,0),""))</f>
        <v/>
      </c>
      <c r="F26" s="182"/>
      <c r="G26" s="182"/>
      <c r="H26" s="64" t="str">
        <f>IFERROR(E26*VLOOKUP(A26,'NFI dimensions'!$A$2:$J$22,8,FALSE),"")</f>
        <v/>
      </c>
      <c r="I26" s="116" t="str">
        <f>IFERROR(E26*VLOOKUP(A26,'NFI dimensions'!$A$2:$J$22,9,FALSE),"")</f>
        <v/>
      </c>
      <c r="J26" s="117"/>
      <c r="K26" s="65" t="str">
        <f>IFERROR(D26*VLOOKUP(A26,'NFI dimensions'!$A$2:$J$22,10,FALSE),"")</f>
        <v/>
      </c>
      <c r="L26" s="66" t="str">
        <f t="shared" si="0"/>
        <v/>
      </c>
      <c r="M26" s="87"/>
      <c r="N26" s="165"/>
      <c r="O26" s="165"/>
    </row>
    <row r="27" spans="1:15" s="29" customFormat="1" ht="18" x14ac:dyDescent="0.35">
      <c r="A27" s="58"/>
      <c r="B27" s="109" t="str">
        <f>IFERROR(VLOOKUP(A27,'NFI dimensions'!$A$1:$J$22,3,FALSE),"")</f>
        <v/>
      </c>
      <c r="C27" s="110"/>
      <c r="D27" s="60"/>
      <c r="E27" s="181" t="str">
        <f>IF(D27="","",IFERROR(D27/VLOOKUP(A27,'NFI dimensions'!$A$2:$J$22,4,0),""))</f>
        <v/>
      </c>
      <c r="F27" s="182"/>
      <c r="G27" s="182"/>
      <c r="H27" s="64" t="str">
        <f>IFERROR(E27*VLOOKUP(A27,'NFI dimensions'!$A$2:$J$22,8,FALSE),"")</f>
        <v/>
      </c>
      <c r="I27" s="116" t="str">
        <f>IFERROR(E27*VLOOKUP(A27,'NFI dimensions'!$A$2:$J$22,9,FALSE),"")</f>
        <v/>
      </c>
      <c r="J27" s="117"/>
      <c r="K27" s="65" t="str">
        <f>IFERROR(D27*VLOOKUP(A27,'NFI dimensions'!$A$2:$J$22,10,FALSE),"")</f>
        <v/>
      </c>
      <c r="L27" s="66" t="str">
        <f t="shared" si="0"/>
        <v/>
      </c>
      <c r="M27" s="87"/>
      <c r="N27" s="165"/>
      <c r="O27" s="165"/>
    </row>
    <row r="28" spans="1:15" s="29" customFormat="1" ht="18" x14ac:dyDescent="0.35">
      <c r="A28" s="58"/>
      <c r="B28" s="109" t="str">
        <f>IFERROR(VLOOKUP(A28,'NFI dimensions'!$A$1:$J$22,3,FALSE),"")</f>
        <v/>
      </c>
      <c r="C28" s="110"/>
      <c r="D28" s="60"/>
      <c r="E28" s="181" t="str">
        <f>IF(D28="","",IFERROR(D28/VLOOKUP(A28,'NFI dimensions'!$A$2:$J$22,4,0),""))</f>
        <v/>
      </c>
      <c r="F28" s="182"/>
      <c r="G28" s="182"/>
      <c r="H28" s="64" t="str">
        <f>IFERROR(E28*VLOOKUP(A28,'NFI dimensions'!$A$2:$J$22,8,FALSE),"")</f>
        <v/>
      </c>
      <c r="I28" s="116" t="str">
        <f>IFERROR(E28*VLOOKUP(A28,'NFI dimensions'!$A$2:$J$22,9,FALSE),"")</f>
        <v/>
      </c>
      <c r="J28" s="117"/>
      <c r="K28" s="65" t="str">
        <f>IFERROR(D28*VLOOKUP(A28,'NFI dimensions'!$A$2:$J$22,10,FALSE),"")</f>
        <v/>
      </c>
      <c r="L28" s="66" t="str">
        <f t="shared" si="0"/>
        <v/>
      </c>
      <c r="M28" s="87"/>
      <c r="N28" s="165"/>
      <c r="O28" s="165"/>
    </row>
    <row r="29" spans="1:15" s="29" customFormat="1" ht="18" x14ac:dyDescent="0.35">
      <c r="A29" s="58"/>
      <c r="B29" s="109" t="str">
        <f>IFERROR(VLOOKUP(A29,'NFI dimensions'!$A$1:$J$22,3,FALSE),"")</f>
        <v/>
      </c>
      <c r="C29" s="110"/>
      <c r="D29" s="60"/>
      <c r="E29" s="181" t="str">
        <f>IF(D29="","",IFERROR(D29/VLOOKUP(A29,'NFI dimensions'!$A$2:$J$22,4,0),""))</f>
        <v/>
      </c>
      <c r="F29" s="182"/>
      <c r="G29" s="182"/>
      <c r="H29" s="64" t="str">
        <f>IFERROR(E29*VLOOKUP(A29,'NFI dimensions'!$A$2:$J$22,8,FALSE),"")</f>
        <v/>
      </c>
      <c r="I29" s="116" t="str">
        <f>IFERROR(E29*VLOOKUP(A29,'NFI dimensions'!$A$2:$J$22,9,FALSE),"")</f>
        <v/>
      </c>
      <c r="J29" s="117"/>
      <c r="K29" s="65" t="str">
        <f>IFERROR(D29*VLOOKUP(A29,'NFI dimensions'!$A$2:$J$22,10,FALSE),"")</f>
        <v/>
      </c>
      <c r="L29" s="66" t="str">
        <f t="shared" si="0"/>
        <v/>
      </c>
      <c r="M29" s="87"/>
      <c r="N29" s="165"/>
      <c r="O29" s="165"/>
    </row>
    <row r="30" spans="1:15" s="29" customFormat="1" ht="18" x14ac:dyDescent="0.35">
      <c r="A30" s="58"/>
      <c r="B30" s="109" t="str">
        <f>IFERROR(VLOOKUP(A30,'NFI dimensions'!$A$1:$J$22,3,FALSE),"")</f>
        <v/>
      </c>
      <c r="C30" s="110"/>
      <c r="D30" s="60"/>
      <c r="E30" s="181" t="str">
        <f>IF(D30="","",IFERROR(D30/VLOOKUP(A30,'NFI dimensions'!$A$2:$J$22,4,0),""))</f>
        <v/>
      </c>
      <c r="F30" s="182"/>
      <c r="G30" s="182"/>
      <c r="H30" s="64" t="str">
        <f>IFERROR(E30*VLOOKUP(A30,'NFI dimensions'!$A$2:$J$22,8,FALSE),"")</f>
        <v/>
      </c>
      <c r="I30" s="116" t="str">
        <f>IFERROR(E30*VLOOKUP(A30,'NFI dimensions'!$A$2:$J$22,9,FALSE),"")</f>
        <v/>
      </c>
      <c r="J30" s="117"/>
      <c r="K30" s="65" t="str">
        <f>IFERROR(D30*VLOOKUP(A30,'NFI dimensions'!$A$2:$J$22,10,FALSE),"")</f>
        <v/>
      </c>
      <c r="L30" s="66" t="str">
        <f t="shared" si="0"/>
        <v/>
      </c>
      <c r="M30" s="87"/>
      <c r="N30" s="165"/>
      <c r="O30" s="165"/>
    </row>
    <row r="31" spans="1:15" s="29" customFormat="1" ht="18" x14ac:dyDescent="0.35">
      <c r="A31" s="58"/>
      <c r="B31" s="109" t="str">
        <f>IFERROR(VLOOKUP(A31,'NFI dimensions'!$A$1:$J$22,3,FALSE),"")</f>
        <v/>
      </c>
      <c r="C31" s="110"/>
      <c r="D31" s="59"/>
      <c r="E31" s="181" t="str">
        <f>IF(D31="","",IFERROR(D31/VLOOKUP(A31,'NFI dimensions'!$A$2:$J$22,4,0),""))</f>
        <v/>
      </c>
      <c r="F31" s="182"/>
      <c r="G31" s="182"/>
      <c r="H31" s="64" t="str">
        <f>IFERROR(E31*VLOOKUP(A31,'NFI dimensions'!$A$2:$J$22,8,FALSE),"")</f>
        <v/>
      </c>
      <c r="I31" s="116" t="str">
        <f>IFERROR(E31*VLOOKUP(A31,'NFI dimensions'!$A$2:$J$22,9,FALSE),"")</f>
        <v/>
      </c>
      <c r="J31" s="117"/>
      <c r="K31" s="65" t="str">
        <f>IFERROR(D31*VLOOKUP(A31,'NFI dimensions'!$A$2:$J$22,10,FALSE),"")</f>
        <v/>
      </c>
      <c r="L31" s="66" t="str">
        <f t="shared" si="0"/>
        <v/>
      </c>
      <c r="M31" s="87"/>
      <c r="N31" s="165"/>
      <c r="O31" s="165"/>
    </row>
    <row r="32" spans="1:15" s="29" customFormat="1" ht="18" x14ac:dyDescent="0.35">
      <c r="A32" s="58"/>
      <c r="B32" s="109" t="str">
        <f>IFERROR(VLOOKUP(A32,'NFI dimensions'!$A$1:$J$22,3,FALSE),"")</f>
        <v/>
      </c>
      <c r="C32" s="110"/>
      <c r="D32" s="59"/>
      <c r="E32" s="181" t="str">
        <f>IF(D32="","",IFERROR(D32/VLOOKUP(A32,'NFI dimensions'!$A$2:$J$22,4,0),""))</f>
        <v/>
      </c>
      <c r="F32" s="182"/>
      <c r="G32" s="182"/>
      <c r="H32" s="64" t="str">
        <f>IFERROR(E32*VLOOKUP(A32,'NFI dimensions'!$A$2:$J$22,8,FALSE),"")</f>
        <v/>
      </c>
      <c r="I32" s="116" t="str">
        <f>IFERROR(E32*VLOOKUP(A32,'NFI dimensions'!$A$2:$J$22,9,FALSE),"")</f>
        <v/>
      </c>
      <c r="J32" s="117"/>
      <c r="K32" s="65" t="str">
        <f>IFERROR(D32*VLOOKUP(A32,'NFI dimensions'!$A$2:$J$22,10,FALSE),"")</f>
        <v/>
      </c>
      <c r="L32" s="66" t="str">
        <f t="shared" si="0"/>
        <v/>
      </c>
      <c r="M32" s="87"/>
      <c r="N32" s="165"/>
      <c r="O32" s="165"/>
    </row>
    <row r="33" spans="1:15" s="29" customFormat="1" ht="18" x14ac:dyDescent="0.35">
      <c r="A33" s="58"/>
      <c r="B33" s="109" t="str">
        <f>IFERROR(VLOOKUP(A33,'NFI dimensions'!$A$1:$J$22,3,FALSE),"")</f>
        <v/>
      </c>
      <c r="C33" s="110"/>
      <c r="D33" s="59"/>
      <c r="E33" s="181" t="str">
        <f>IF(D33="","",IFERROR(D33/VLOOKUP(A33,'NFI dimensions'!$A$2:$J$22,4,0),""))</f>
        <v/>
      </c>
      <c r="F33" s="182"/>
      <c r="G33" s="182"/>
      <c r="H33" s="64" t="str">
        <f>IFERROR(E33*VLOOKUP(A33,'NFI dimensions'!$A$2:$J$22,8,FALSE),"")</f>
        <v/>
      </c>
      <c r="I33" s="116" t="str">
        <f>IFERROR(E33*VLOOKUP(A33,'NFI dimensions'!$A$2:$J$22,9,FALSE),"")</f>
        <v/>
      </c>
      <c r="J33" s="117"/>
      <c r="K33" s="65" t="str">
        <f>IFERROR(D33*VLOOKUP(A33,'NFI dimensions'!$A$2:$J$22,10,FALSE),"")</f>
        <v/>
      </c>
      <c r="L33" s="66" t="str">
        <f t="shared" si="0"/>
        <v/>
      </c>
      <c r="M33" s="87"/>
      <c r="N33" s="165"/>
      <c r="O33" s="165"/>
    </row>
    <row r="34" spans="1:15" s="29" customFormat="1" ht="18" x14ac:dyDescent="0.35">
      <c r="A34" s="58"/>
      <c r="B34" s="109" t="str">
        <f>IFERROR(VLOOKUP(A34,'NFI dimensions'!$A$1:$J$22,3,FALSE),"")</f>
        <v/>
      </c>
      <c r="C34" s="110"/>
      <c r="D34" s="59"/>
      <c r="E34" s="181" t="str">
        <f>IF(D34="","",IFERROR(D34/VLOOKUP(A34,'NFI dimensions'!$A$2:$J$22,4,0),""))</f>
        <v/>
      </c>
      <c r="F34" s="182"/>
      <c r="G34" s="182"/>
      <c r="H34" s="64" t="str">
        <f>IFERROR(E34*VLOOKUP(A34,'NFI dimensions'!$A$2:$J$22,8,FALSE),"")</f>
        <v/>
      </c>
      <c r="I34" s="116" t="str">
        <f>IFERROR(E34*VLOOKUP(A34,'NFI dimensions'!$A$2:$J$22,9,FALSE),"")</f>
        <v/>
      </c>
      <c r="J34" s="117"/>
      <c r="K34" s="65" t="str">
        <f>IFERROR(D34*VLOOKUP(A34,'NFI dimensions'!$A$2:$J$22,10,FALSE),"")</f>
        <v/>
      </c>
      <c r="L34" s="66" t="str">
        <f t="shared" si="0"/>
        <v/>
      </c>
      <c r="M34" s="87"/>
      <c r="N34" s="165"/>
      <c r="O34" s="165"/>
    </row>
    <row r="35" spans="1:15" s="29" customFormat="1" ht="18" x14ac:dyDescent="0.35">
      <c r="A35" s="58"/>
      <c r="B35" s="109" t="str">
        <f>IFERROR(VLOOKUP(A35,'NFI dimensions'!$A$1:$J$22,3,FALSE),"")</f>
        <v/>
      </c>
      <c r="C35" s="110"/>
      <c r="D35" s="59"/>
      <c r="E35" s="181" t="str">
        <f>IF(D35="","",IFERROR(D35/VLOOKUP(A35,'NFI dimensions'!$A$2:$J$22,4,0),""))</f>
        <v/>
      </c>
      <c r="F35" s="182"/>
      <c r="G35" s="182"/>
      <c r="H35" s="64" t="str">
        <f>IFERROR(E35*VLOOKUP(A35,'NFI dimensions'!$A$2:$J$22,8,FALSE),"")</f>
        <v/>
      </c>
      <c r="I35" s="116" t="str">
        <f>IFERROR(E35*VLOOKUP(A35,'NFI dimensions'!$A$2:$J$22,9,FALSE),"")</f>
        <v/>
      </c>
      <c r="J35" s="117"/>
      <c r="K35" s="65" t="str">
        <f>IFERROR(D35*VLOOKUP(A35,'NFI dimensions'!$A$2:$J$22,10,FALSE),"")</f>
        <v/>
      </c>
      <c r="L35" s="66" t="str">
        <f t="shared" si="0"/>
        <v/>
      </c>
      <c r="M35" s="87"/>
      <c r="N35" s="165"/>
      <c r="O35" s="165"/>
    </row>
    <row r="36" spans="1:15" s="29" customFormat="1" ht="18" x14ac:dyDescent="0.35">
      <c r="A36" s="58"/>
      <c r="B36" s="109" t="str">
        <f>IFERROR(VLOOKUP(A36,'NFI dimensions'!$A$1:$J$22,3,FALSE),"")</f>
        <v/>
      </c>
      <c r="C36" s="110"/>
      <c r="D36" s="59"/>
      <c r="E36" s="181" t="str">
        <f>IF(D36="","",IFERROR(D36/VLOOKUP(A36,'NFI dimensions'!$A$2:$J$22,4,0),""))</f>
        <v/>
      </c>
      <c r="F36" s="182"/>
      <c r="G36" s="182"/>
      <c r="H36" s="64" t="str">
        <f>IFERROR(E36*VLOOKUP(A36,'NFI dimensions'!$A$2:$J$22,8,FALSE),"")</f>
        <v/>
      </c>
      <c r="I36" s="116" t="str">
        <f>IFERROR(E36*VLOOKUP(A36,'NFI dimensions'!$A$2:$J$22,9,FALSE),"")</f>
        <v/>
      </c>
      <c r="J36" s="117"/>
      <c r="K36" s="65" t="str">
        <f>IFERROR(D36*VLOOKUP(A36,'NFI dimensions'!$A$2:$J$22,10,FALSE),"")</f>
        <v/>
      </c>
      <c r="L36" s="66" t="str">
        <f t="shared" si="0"/>
        <v/>
      </c>
      <c r="M36" s="87"/>
      <c r="N36" s="165"/>
      <c r="O36" s="165"/>
    </row>
    <row r="37" spans="1:15" s="29" customFormat="1" ht="18" x14ac:dyDescent="0.35">
      <c r="A37" s="185" t="s">
        <v>39</v>
      </c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7"/>
      <c r="M37" s="88"/>
      <c r="N37" s="165"/>
      <c r="O37" s="165"/>
    </row>
    <row r="38" spans="1:15" s="29" customFormat="1" ht="18" x14ac:dyDescent="0.35">
      <c r="A38" s="78"/>
      <c r="B38" s="183"/>
      <c r="C38" s="184"/>
      <c r="D38" s="81"/>
      <c r="E38" s="235"/>
      <c r="F38" s="236"/>
      <c r="G38" s="236"/>
      <c r="H38" s="61">
        <f>ROUND(SUM(H25:H36),1)</f>
        <v>0</v>
      </c>
      <c r="I38" s="118">
        <f>ROUND(SUM(I25:J36),1)</f>
        <v>0</v>
      </c>
      <c r="J38" s="119"/>
      <c r="K38" s="62">
        <f>ROUND(SUM(K25:K36),1)</f>
        <v>0</v>
      </c>
      <c r="L38" s="63">
        <f>ROUND(SUM(L25:L36),1)</f>
        <v>0</v>
      </c>
      <c r="M38" s="87"/>
      <c r="N38" s="165"/>
      <c r="O38" s="165"/>
    </row>
    <row r="39" spans="1:15" s="29" customFormat="1" ht="18" x14ac:dyDescent="0.35">
      <c r="A39" s="188" t="s">
        <v>40</v>
      </c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90"/>
      <c r="M39" s="89"/>
      <c r="N39" s="165"/>
      <c r="O39" s="165"/>
    </row>
    <row r="40" spans="1:15" s="29" customFormat="1" ht="18" x14ac:dyDescent="0.35">
      <c r="A40" s="58"/>
      <c r="B40" s="109" t="str">
        <f>IFERROR(VLOOKUP(A40,'NFI dimensions'!A2:J22,3,FALSE),"")</f>
        <v/>
      </c>
      <c r="C40" s="110"/>
      <c r="D40" s="58"/>
      <c r="E40" s="181" t="str">
        <f>IF(D40="","",IFERROR(D40/VLOOKUP(A40,'NFI dimensions'!$A$2:$J$22,4,0),""))</f>
        <v/>
      </c>
      <c r="F40" s="182"/>
      <c r="G40" s="182"/>
      <c r="H40" s="64" t="str">
        <f>IFERROR(E40*VLOOKUP(A40,'NFI dimensions'!$A$2:$J$22,8,FALSE),"")</f>
        <v/>
      </c>
      <c r="I40" s="116" t="str">
        <f>IFERROR(E40*VLOOKUP(A40,'NFI dimensions'!$A$2:$J$22,9,FALSE),"")</f>
        <v/>
      </c>
      <c r="J40" s="117"/>
      <c r="K40" s="65" t="str">
        <f>IFERROR(D40*VLOOKUP(A40,'NFI dimensions'!$A$2:$J$22,10,FALSE),"")</f>
        <v/>
      </c>
      <c r="L40" s="66" t="str">
        <f t="shared" ref="L40:L49" si="1">IFERROR(IF($L$12="",0,IF($L$12="Road",H40/1000*750,IF($L$12="Air",H40/1000*2000))),"")</f>
        <v/>
      </c>
      <c r="M40" s="87"/>
      <c r="N40" s="165"/>
      <c r="O40" s="165"/>
    </row>
    <row r="41" spans="1:15" s="29" customFormat="1" ht="18" x14ac:dyDescent="0.35">
      <c r="A41" s="58"/>
      <c r="B41" s="109" t="str">
        <f>IFERROR(VLOOKUP(A41,'NFI dimensions'!A3:J23,3,FALSE),"")</f>
        <v/>
      </c>
      <c r="C41" s="110"/>
      <c r="D41" s="58"/>
      <c r="E41" s="181" t="str">
        <f>IF(D41="","",IFERROR(D41/VLOOKUP(A41,'NFI dimensions'!$A$2:$J$22,4,0),""))</f>
        <v/>
      </c>
      <c r="F41" s="182"/>
      <c r="G41" s="182"/>
      <c r="H41" s="64" t="str">
        <f>IFERROR(E41*VLOOKUP(A41,'NFI dimensions'!$A$2:$J$22,8,FALSE),"")</f>
        <v/>
      </c>
      <c r="I41" s="116" t="str">
        <f>IFERROR(E41*VLOOKUP(A41,'NFI dimensions'!$A$2:$J$22,9,FALSE),"")</f>
        <v/>
      </c>
      <c r="J41" s="117"/>
      <c r="K41" s="65" t="str">
        <f>IFERROR(D41*VLOOKUP(A41,'NFI dimensions'!$A$2:$J$22,10,FALSE),"")</f>
        <v/>
      </c>
      <c r="L41" s="66" t="str">
        <f t="shared" si="1"/>
        <v/>
      </c>
      <c r="M41" s="87"/>
      <c r="N41" s="165"/>
      <c r="O41" s="165"/>
    </row>
    <row r="42" spans="1:15" s="29" customFormat="1" ht="18" x14ac:dyDescent="0.35">
      <c r="A42" s="58"/>
      <c r="B42" s="109" t="str">
        <f>IFERROR(VLOOKUP(A42,'NFI dimensions'!A4:J24,3,FALSE),"")</f>
        <v/>
      </c>
      <c r="C42" s="110"/>
      <c r="D42" s="58"/>
      <c r="E42" s="181" t="str">
        <f>IF(D42="","",IFERROR(D42/VLOOKUP(A42,'NFI dimensions'!$A$2:$J$22,4,0),""))</f>
        <v/>
      </c>
      <c r="F42" s="182"/>
      <c r="G42" s="182"/>
      <c r="H42" s="64" t="str">
        <f>IFERROR(E42*VLOOKUP(A42,'NFI dimensions'!$A$2:$J$22,8,FALSE),"")</f>
        <v/>
      </c>
      <c r="I42" s="116" t="str">
        <f>IFERROR(E42*VLOOKUP(A42,'NFI dimensions'!$A$2:$J$22,9,FALSE),"")</f>
        <v/>
      </c>
      <c r="J42" s="117"/>
      <c r="K42" s="65" t="str">
        <f>IFERROR(D42*VLOOKUP(A42,'NFI dimensions'!$A$2:$J$22,10,FALSE),"")</f>
        <v/>
      </c>
      <c r="L42" s="66" t="str">
        <f t="shared" si="1"/>
        <v/>
      </c>
      <c r="M42" s="87"/>
      <c r="N42" s="165"/>
      <c r="O42" s="165"/>
    </row>
    <row r="43" spans="1:15" s="29" customFormat="1" ht="18" x14ac:dyDescent="0.35">
      <c r="A43" s="58"/>
      <c r="B43" s="109" t="str">
        <f>IFERROR(VLOOKUP(A43,'NFI dimensions'!A5:J25,3,FALSE),"")</f>
        <v/>
      </c>
      <c r="C43" s="110"/>
      <c r="D43" s="58"/>
      <c r="E43" s="181" t="str">
        <f>IF(D43="","",IFERROR(D43/VLOOKUP(A43,'NFI dimensions'!$A$2:$J$22,4,0),""))</f>
        <v/>
      </c>
      <c r="F43" s="182"/>
      <c r="G43" s="182"/>
      <c r="H43" s="64" t="str">
        <f>IFERROR(E43*VLOOKUP(A43,'NFI dimensions'!$A$2:$J$22,8,FALSE),"")</f>
        <v/>
      </c>
      <c r="I43" s="116" t="str">
        <f>IFERROR(E43*VLOOKUP(A43,'NFI dimensions'!$A$2:$J$22,9,FALSE),"")</f>
        <v/>
      </c>
      <c r="J43" s="117"/>
      <c r="K43" s="65" t="str">
        <f>IFERROR(D43*VLOOKUP(A43,'NFI dimensions'!$A$2:$J$22,10,FALSE),"")</f>
        <v/>
      </c>
      <c r="L43" s="66" t="str">
        <f t="shared" si="1"/>
        <v/>
      </c>
      <c r="M43" s="87"/>
      <c r="N43" s="165"/>
      <c r="O43" s="165"/>
    </row>
    <row r="44" spans="1:15" s="29" customFormat="1" ht="18" x14ac:dyDescent="0.35">
      <c r="A44" s="58"/>
      <c r="B44" s="109" t="str">
        <f>IFERROR(VLOOKUP(A44,'NFI dimensions'!A6:J26,3,FALSE),"")</f>
        <v/>
      </c>
      <c r="C44" s="110"/>
      <c r="D44" s="58"/>
      <c r="E44" s="181" t="str">
        <f>IF(D44="","",IFERROR(D44/VLOOKUP(A44,'NFI dimensions'!$A$2:$J$22,4,0),""))</f>
        <v/>
      </c>
      <c r="F44" s="182"/>
      <c r="G44" s="182"/>
      <c r="H44" s="64" t="str">
        <f>IFERROR(E44*VLOOKUP(A44,'NFI dimensions'!$A$2:$J$22,8,FALSE),"")</f>
        <v/>
      </c>
      <c r="I44" s="116" t="str">
        <f>IFERROR(E44*VLOOKUP(A44,'NFI dimensions'!$A$2:$J$22,9,FALSE),"")</f>
        <v/>
      </c>
      <c r="J44" s="117"/>
      <c r="K44" s="65" t="str">
        <f>IFERROR(D44*VLOOKUP(A44,'NFI dimensions'!$A$2:$J$22,10,FALSE),"")</f>
        <v/>
      </c>
      <c r="L44" s="66" t="str">
        <f t="shared" si="1"/>
        <v/>
      </c>
      <c r="M44" s="87"/>
      <c r="N44" s="165"/>
      <c r="O44" s="165"/>
    </row>
    <row r="45" spans="1:15" s="29" customFormat="1" ht="18" x14ac:dyDescent="0.35">
      <c r="A45" s="58"/>
      <c r="B45" s="109" t="str">
        <f>IFERROR(VLOOKUP(A45,'NFI dimensions'!A7:J27,3,FALSE),"")</f>
        <v/>
      </c>
      <c r="C45" s="110"/>
      <c r="D45" s="58"/>
      <c r="E45" s="181" t="str">
        <f>IF(D45="","",IFERROR(D45/VLOOKUP(A45,'NFI dimensions'!$A$2:$J$22,4,0),""))</f>
        <v/>
      </c>
      <c r="F45" s="182"/>
      <c r="G45" s="182"/>
      <c r="H45" s="64" t="str">
        <f>IFERROR(E45*VLOOKUP(A45,'NFI dimensions'!$A$2:$J$22,8,FALSE),"")</f>
        <v/>
      </c>
      <c r="I45" s="116" t="str">
        <f>IFERROR(E45*VLOOKUP(A45,'NFI dimensions'!$A$2:$J$22,9,FALSE),"")</f>
        <v/>
      </c>
      <c r="J45" s="117"/>
      <c r="K45" s="65" t="str">
        <f>IFERROR(D45*VLOOKUP(A45,'NFI dimensions'!$A$2:$J$22,10,FALSE),"")</f>
        <v/>
      </c>
      <c r="L45" s="66" t="str">
        <f t="shared" si="1"/>
        <v/>
      </c>
      <c r="M45" s="87"/>
      <c r="N45" s="165"/>
      <c r="O45" s="165"/>
    </row>
    <row r="46" spans="1:15" s="29" customFormat="1" ht="18" x14ac:dyDescent="0.35">
      <c r="A46" s="58"/>
      <c r="B46" s="109" t="str">
        <f>IFERROR(VLOOKUP(A46,'NFI dimensions'!A8:J28,3,FALSE),"")</f>
        <v/>
      </c>
      <c r="C46" s="110"/>
      <c r="D46" s="58"/>
      <c r="E46" s="181" t="str">
        <f>IF(D46="","",IFERROR(D46/VLOOKUP(A46,'NFI dimensions'!$A$2:$J$22,4,0),""))</f>
        <v/>
      </c>
      <c r="F46" s="182"/>
      <c r="G46" s="182"/>
      <c r="H46" s="64" t="str">
        <f>IFERROR(E46*VLOOKUP(A46,'NFI dimensions'!$A$2:$J$22,8,FALSE),"")</f>
        <v/>
      </c>
      <c r="I46" s="116" t="str">
        <f>IFERROR(E46*VLOOKUP(A46,'NFI dimensions'!$A$2:$J$22,9,FALSE),"")</f>
        <v/>
      </c>
      <c r="J46" s="117"/>
      <c r="K46" s="65" t="str">
        <f>IFERROR(D46*VLOOKUP(A46,'NFI dimensions'!$A$2:$J$22,10,FALSE),"")</f>
        <v/>
      </c>
      <c r="L46" s="66" t="str">
        <f t="shared" si="1"/>
        <v/>
      </c>
      <c r="M46" s="87"/>
      <c r="N46" s="90"/>
      <c r="O46" s="90"/>
    </row>
    <row r="47" spans="1:15" s="29" customFormat="1" ht="18" x14ac:dyDescent="0.35">
      <c r="A47" s="58"/>
      <c r="B47" s="109" t="str">
        <f>IFERROR(VLOOKUP(A47,'NFI dimensions'!A9:J29,3,FALSE),"")</f>
        <v/>
      </c>
      <c r="C47" s="110"/>
      <c r="D47" s="58"/>
      <c r="E47" s="181" t="str">
        <f>IF(D47="","",IFERROR(D47/VLOOKUP(A47,'NFI dimensions'!$A$2:$J$22,4,0),""))</f>
        <v/>
      </c>
      <c r="F47" s="182"/>
      <c r="G47" s="182"/>
      <c r="H47" s="64" t="str">
        <f>IFERROR(E47*VLOOKUP(A47,'NFI dimensions'!$A$2:$J$22,8,FALSE),"")</f>
        <v/>
      </c>
      <c r="I47" s="116" t="str">
        <f>IFERROR(E47*VLOOKUP(A47,'NFI dimensions'!$A$2:$J$22,9,FALSE),"")</f>
        <v/>
      </c>
      <c r="J47" s="117"/>
      <c r="K47" s="65" t="str">
        <f>IFERROR(D47*VLOOKUP(A47,'NFI dimensions'!$A$2:$J$22,10,FALSE),"")</f>
        <v/>
      </c>
      <c r="L47" s="66" t="str">
        <f t="shared" si="1"/>
        <v/>
      </c>
      <c r="M47" s="87"/>
      <c r="N47" s="90"/>
      <c r="O47" s="90"/>
    </row>
    <row r="48" spans="1:15" s="29" customFormat="1" ht="18" x14ac:dyDescent="0.35">
      <c r="A48" s="58"/>
      <c r="B48" s="109" t="str">
        <f>IFERROR(VLOOKUP(A48,'NFI dimensions'!A10:J30,3,FALSE),"")</f>
        <v/>
      </c>
      <c r="C48" s="110"/>
      <c r="D48" s="58"/>
      <c r="E48" s="181" t="str">
        <f>IF(D48="","",IFERROR(D48/VLOOKUP(A48,'NFI dimensions'!$A$2:$J$22,4,0),""))</f>
        <v/>
      </c>
      <c r="F48" s="182"/>
      <c r="G48" s="182"/>
      <c r="H48" s="64" t="str">
        <f>IFERROR(E48*VLOOKUP(A48,'NFI dimensions'!$A$2:$J$22,8,FALSE),"")</f>
        <v/>
      </c>
      <c r="I48" s="116" t="str">
        <f>IFERROR(E48*VLOOKUP(A48,'NFI dimensions'!$A$2:$J$22,9,FALSE),"")</f>
        <v/>
      </c>
      <c r="J48" s="117"/>
      <c r="K48" s="65" t="str">
        <f>IFERROR(D48*VLOOKUP(A48,'NFI dimensions'!$A$2:$J$22,10,FALSE),"")</f>
        <v/>
      </c>
      <c r="L48" s="66" t="str">
        <f>IFERROR(IF($L$12="",0,IF($L$12="Road",H48/1000*750,IF($L$12="Air",H48/1000*2000))),"")</f>
        <v/>
      </c>
      <c r="M48" s="87"/>
      <c r="N48" s="90"/>
      <c r="O48" s="90"/>
    </row>
    <row r="49" spans="1:15" s="29" customFormat="1" ht="18" x14ac:dyDescent="0.35">
      <c r="A49" s="58"/>
      <c r="B49" s="109" t="str">
        <f>IFERROR(VLOOKUP(A49,'NFI dimensions'!A10:J30,3,FALSE),"")</f>
        <v/>
      </c>
      <c r="C49" s="110"/>
      <c r="D49" s="58"/>
      <c r="E49" s="181" t="str">
        <f>IF(D49="","",IFERROR(D49/VLOOKUP(A49,'NFI dimensions'!$A$2:$J$22,4,0),""))</f>
        <v/>
      </c>
      <c r="F49" s="182"/>
      <c r="G49" s="182"/>
      <c r="H49" s="64" t="str">
        <f>IFERROR(E49*VLOOKUP(A49,'NFI dimensions'!$A$2:$J$22,8,FALSE),"")</f>
        <v/>
      </c>
      <c r="I49" s="116" t="str">
        <f>IFERROR(E49*VLOOKUP(A49,'NFI dimensions'!$A$2:$J$22,9,FALSE),"")</f>
        <v/>
      </c>
      <c r="J49" s="117"/>
      <c r="K49" s="65" t="str">
        <f>IFERROR(D49*VLOOKUP(A49,'NFI dimensions'!$A$2:$J$22,10,FALSE),"")</f>
        <v/>
      </c>
      <c r="L49" s="66" t="str">
        <f t="shared" si="1"/>
        <v/>
      </c>
      <c r="M49" s="87"/>
      <c r="N49" s="165"/>
      <c r="O49" s="165"/>
    </row>
    <row r="50" spans="1:15" s="29" customFormat="1" ht="18" x14ac:dyDescent="0.35">
      <c r="A50" s="175" t="s">
        <v>41</v>
      </c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7"/>
      <c r="M50" s="91"/>
      <c r="N50" s="165"/>
      <c r="O50" s="165"/>
    </row>
    <row r="51" spans="1:15" s="29" customFormat="1" ht="16.5" customHeight="1" x14ac:dyDescent="0.35">
      <c r="A51" s="78"/>
      <c r="B51" s="171"/>
      <c r="C51" s="172"/>
      <c r="D51" s="77"/>
      <c r="E51" s="120"/>
      <c r="F51" s="121"/>
      <c r="G51" s="121"/>
      <c r="H51" s="61">
        <f>ROUND(SUM(H40:H50),1)</f>
        <v>0</v>
      </c>
      <c r="I51" s="118">
        <f>ROUND(SUM(I40:J50),1)</f>
        <v>0</v>
      </c>
      <c r="J51" s="119"/>
      <c r="K51" s="82">
        <f>SUM(K40:K50)</f>
        <v>0</v>
      </c>
      <c r="L51" s="68">
        <f>SUM(L40:L50)</f>
        <v>0</v>
      </c>
      <c r="M51" s="87"/>
      <c r="N51" s="165"/>
      <c r="O51" s="165"/>
    </row>
    <row r="52" spans="1:15" x14ac:dyDescent="0.35">
      <c r="B52" s="41"/>
      <c r="C52" s="41"/>
      <c r="D52" s="42"/>
      <c r="E52" s="42"/>
      <c r="F52" s="42"/>
      <c r="G52" s="42"/>
      <c r="H52" s="34"/>
      <c r="I52" s="34"/>
      <c r="J52" s="43"/>
      <c r="K52" s="43"/>
      <c r="L52" s="43"/>
      <c r="M52" s="92"/>
      <c r="N52" s="93"/>
      <c r="O52" s="93"/>
    </row>
    <row r="53" spans="1:15" ht="18" x14ac:dyDescent="0.4">
      <c r="A53" s="44" t="s">
        <v>42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45"/>
      <c r="M53" s="45"/>
      <c r="N53" s="45"/>
      <c r="O53" s="46"/>
    </row>
    <row r="54" spans="1:15" ht="9.75" customHeight="1" x14ac:dyDescent="0.4">
      <c r="A54" s="44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45"/>
      <c r="M54" s="45"/>
      <c r="N54" s="45"/>
      <c r="O54" s="46"/>
    </row>
    <row r="55" spans="1:15" ht="18" x14ac:dyDescent="0.4">
      <c r="A55" s="112" t="s">
        <v>43</v>
      </c>
      <c r="B55" s="113"/>
      <c r="C55" s="47" t="s">
        <v>44</v>
      </c>
      <c r="D55" s="167"/>
      <c r="E55" s="167"/>
      <c r="F55" s="167"/>
      <c r="G55" s="167"/>
      <c r="H55" s="167"/>
      <c r="I55" s="167"/>
      <c r="J55" s="94"/>
      <c r="K55" s="94"/>
      <c r="L55" s="95"/>
      <c r="M55" s="94"/>
      <c r="N55" s="94"/>
      <c r="O55" s="94"/>
    </row>
    <row r="56" spans="1:15" ht="18" x14ac:dyDescent="0.4">
      <c r="A56" s="112" t="s">
        <v>45</v>
      </c>
      <c r="B56" s="113"/>
      <c r="C56" s="47" t="s">
        <v>44</v>
      </c>
      <c r="D56" s="135"/>
      <c r="E56" s="135"/>
      <c r="F56" s="135"/>
      <c r="G56" s="135"/>
      <c r="H56" s="135"/>
      <c r="I56" s="135"/>
      <c r="J56" s="94"/>
      <c r="K56" s="94"/>
      <c r="L56" s="95"/>
      <c r="M56" s="94"/>
      <c r="N56" s="94"/>
      <c r="O56" s="94"/>
    </row>
    <row r="57" spans="1:15" ht="18" x14ac:dyDescent="0.4">
      <c r="A57" s="114" t="s">
        <v>46</v>
      </c>
      <c r="B57" s="115"/>
      <c r="C57" s="50" t="s">
        <v>44</v>
      </c>
      <c r="D57" s="122"/>
      <c r="E57" s="122"/>
      <c r="F57" s="122"/>
      <c r="G57" s="122"/>
      <c r="H57" s="122"/>
      <c r="I57" s="122"/>
      <c r="J57" s="94"/>
      <c r="K57" s="94"/>
      <c r="L57" s="95"/>
      <c r="M57" s="94"/>
      <c r="N57" s="94"/>
      <c r="O57" s="94"/>
    </row>
    <row r="58" spans="1:15" ht="21" customHeight="1" x14ac:dyDescent="0.4">
      <c r="A58" s="136" t="s">
        <v>47</v>
      </c>
      <c r="B58" s="137"/>
      <c r="C58" s="50" t="s">
        <v>44</v>
      </c>
      <c r="D58" s="145"/>
      <c r="E58" s="145"/>
      <c r="F58" s="145"/>
      <c r="G58" s="145"/>
      <c r="H58" s="145"/>
      <c r="I58" s="145"/>
      <c r="J58" s="94"/>
      <c r="K58" s="94"/>
      <c r="L58" s="95"/>
      <c r="M58" s="94"/>
      <c r="N58" s="94"/>
      <c r="O58" s="94"/>
    </row>
    <row r="59" spans="1:15" ht="18" x14ac:dyDescent="0.4">
      <c r="A59" s="138" t="s">
        <v>48</v>
      </c>
      <c r="B59" s="139"/>
      <c r="C59" s="51" t="s">
        <v>44</v>
      </c>
      <c r="D59" s="168"/>
      <c r="E59" s="168"/>
      <c r="F59" s="168"/>
      <c r="G59" s="168"/>
      <c r="H59" s="168"/>
      <c r="I59" s="168"/>
      <c r="J59" s="96"/>
      <c r="K59" s="96"/>
      <c r="L59" s="97"/>
      <c r="M59" s="94"/>
      <c r="N59" s="94"/>
      <c r="O59" s="94"/>
    </row>
    <row r="60" spans="1:15" ht="18" x14ac:dyDescent="0.4">
      <c r="A60" s="151" t="s">
        <v>49</v>
      </c>
      <c r="B60" s="152"/>
      <c r="C60" s="31" t="s">
        <v>44</v>
      </c>
      <c r="D60" s="169"/>
      <c r="E60" s="169"/>
      <c r="F60" s="169"/>
      <c r="G60" s="169"/>
      <c r="H60" s="169"/>
      <c r="I60" s="169"/>
      <c r="J60" s="96"/>
      <c r="K60" s="96"/>
      <c r="L60" s="97"/>
      <c r="M60" s="94"/>
      <c r="N60" s="94"/>
      <c r="O60" s="94"/>
    </row>
    <row r="61" spans="1:15" ht="18" x14ac:dyDescent="0.4">
      <c r="A61" s="151" t="s">
        <v>50</v>
      </c>
      <c r="B61" s="152"/>
      <c r="C61" s="31" t="s">
        <v>44</v>
      </c>
      <c r="D61" s="167"/>
      <c r="E61" s="167"/>
      <c r="F61" s="167"/>
      <c r="G61" s="167"/>
      <c r="H61" s="167"/>
      <c r="I61" s="167"/>
      <c r="J61" s="96"/>
      <c r="K61" s="96"/>
      <c r="L61" s="97"/>
      <c r="M61" s="94"/>
      <c r="N61" s="94"/>
      <c r="O61" s="94"/>
    </row>
    <row r="62" spans="1:15" ht="18" x14ac:dyDescent="0.4">
      <c r="A62" s="151" t="s">
        <v>51</v>
      </c>
      <c r="B62" s="152"/>
      <c r="C62" s="31" t="s">
        <v>44</v>
      </c>
      <c r="D62" s="167"/>
      <c r="E62" s="167"/>
      <c r="F62" s="167"/>
      <c r="G62" s="167"/>
      <c r="H62" s="167"/>
      <c r="I62" s="167"/>
      <c r="J62" s="96"/>
      <c r="K62" s="96"/>
      <c r="L62" s="97"/>
      <c r="M62" s="94"/>
      <c r="N62" s="94"/>
      <c r="O62" s="94"/>
    </row>
    <row r="63" spans="1:15" ht="44.25" customHeight="1" x14ac:dyDescent="0.4">
      <c r="A63" s="138" t="s">
        <v>52</v>
      </c>
      <c r="B63" s="139"/>
      <c r="C63" s="51" t="s">
        <v>44</v>
      </c>
      <c r="D63" s="167"/>
      <c r="E63" s="167"/>
      <c r="F63" s="167"/>
      <c r="G63" s="167"/>
      <c r="H63" s="167"/>
      <c r="I63" s="167"/>
      <c r="J63" s="88"/>
      <c r="K63" s="88"/>
      <c r="L63" s="95"/>
      <c r="M63" s="94"/>
      <c r="N63" s="94"/>
      <c r="O63" s="94"/>
    </row>
    <row r="64" spans="1:15" ht="42.75" customHeight="1" x14ac:dyDescent="0.4">
      <c r="A64" s="138" t="s">
        <v>53</v>
      </c>
      <c r="B64" s="139"/>
      <c r="C64" s="51" t="s">
        <v>44</v>
      </c>
      <c r="D64" s="135"/>
      <c r="E64" s="135"/>
      <c r="F64" s="135"/>
      <c r="G64" s="135"/>
      <c r="H64" s="135"/>
      <c r="I64" s="135"/>
      <c r="J64" s="88"/>
      <c r="K64" s="88"/>
      <c r="L64" s="95"/>
      <c r="M64" s="94"/>
      <c r="N64" s="94"/>
      <c r="O64" s="94"/>
    </row>
    <row r="65" spans="1:16" ht="9.75" customHeight="1" x14ac:dyDescent="0.4">
      <c r="A65" s="52"/>
      <c r="B65" s="53"/>
      <c r="C65" s="51"/>
      <c r="D65" s="25"/>
      <c r="E65" s="25"/>
      <c r="F65" s="25"/>
      <c r="G65" s="25"/>
      <c r="H65" s="25"/>
      <c r="I65" s="25"/>
      <c r="J65" s="8"/>
      <c r="K65" s="8"/>
      <c r="L65" s="49"/>
      <c r="M65" s="48"/>
      <c r="N65" s="48"/>
      <c r="O65" s="48"/>
    </row>
    <row r="66" spans="1:16" ht="21.75" customHeight="1" thickBot="1" x14ac:dyDescent="0.4">
      <c r="A66" s="148" t="s">
        <v>54</v>
      </c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98"/>
      <c r="O66" s="98"/>
      <c r="P66" s="54"/>
    </row>
    <row r="67" spans="1:16" ht="32.25" customHeight="1" x14ac:dyDescent="0.45">
      <c r="A67" s="146" t="s">
        <v>55</v>
      </c>
      <c r="B67" s="147"/>
      <c r="C67" s="142" t="s">
        <v>56</v>
      </c>
      <c r="D67" s="173"/>
      <c r="E67" s="174"/>
      <c r="F67" s="142" t="s">
        <v>57</v>
      </c>
      <c r="G67" s="143"/>
      <c r="H67" s="144"/>
      <c r="I67" s="142" t="s">
        <v>58</v>
      </c>
      <c r="J67" s="143"/>
      <c r="K67" s="144"/>
      <c r="L67" s="142" t="s">
        <v>59</v>
      </c>
      <c r="M67" s="143"/>
      <c r="N67" s="99"/>
      <c r="O67" s="100"/>
    </row>
    <row r="68" spans="1:16" ht="15" customHeight="1" x14ac:dyDescent="0.45">
      <c r="A68" s="123"/>
      <c r="B68" s="124"/>
      <c r="C68" s="140"/>
      <c r="D68" s="141"/>
      <c r="E68" s="141"/>
      <c r="F68" s="134"/>
      <c r="G68" s="134"/>
      <c r="H68" s="134"/>
      <c r="I68" s="111"/>
      <c r="J68" s="111"/>
      <c r="K68" s="111"/>
      <c r="L68" s="111"/>
      <c r="M68" s="111"/>
      <c r="N68" s="99"/>
      <c r="O68" s="100"/>
    </row>
    <row r="69" spans="1:16" ht="15" customHeight="1" x14ac:dyDescent="0.45">
      <c r="A69" s="79"/>
      <c r="B69" s="80"/>
      <c r="C69" s="79"/>
      <c r="D69" s="83"/>
      <c r="E69" s="84"/>
      <c r="F69" s="71"/>
      <c r="G69" s="72"/>
      <c r="H69" s="73"/>
      <c r="I69" s="74"/>
      <c r="J69" s="75"/>
      <c r="K69" s="76"/>
      <c r="L69" s="74"/>
      <c r="M69" s="76"/>
      <c r="N69" s="99"/>
      <c r="O69" s="100"/>
    </row>
    <row r="70" spans="1:16" ht="15" customHeight="1" x14ac:dyDescent="0.35">
      <c r="A70" s="125"/>
      <c r="B70" s="126"/>
      <c r="C70" s="125"/>
      <c r="D70" s="127"/>
      <c r="E70" s="126"/>
      <c r="F70" s="128"/>
      <c r="G70" s="129"/>
      <c r="H70" s="130"/>
      <c r="I70" s="131"/>
      <c r="J70" s="132"/>
      <c r="K70" s="133"/>
      <c r="L70" s="131"/>
      <c r="M70" s="133"/>
      <c r="N70" s="99"/>
      <c r="O70" s="100"/>
    </row>
    <row r="71" spans="1:16" ht="15" customHeight="1" x14ac:dyDescent="0.45">
      <c r="A71" s="123"/>
      <c r="B71" s="124"/>
      <c r="C71" s="140"/>
      <c r="D71" s="141"/>
      <c r="E71" s="141"/>
      <c r="F71" s="134"/>
      <c r="G71" s="134"/>
      <c r="H71" s="134"/>
      <c r="I71" s="111"/>
      <c r="J71" s="111"/>
      <c r="K71" s="111"/>
      <c r="L71" s="111"/>
      <c r="M71" s="111"/>
      <c r="N71" s="99"/>
      <c r="O71" s="100"/>
    </row>
    <row r="72" spans="1:16" ht="15" customHeight="1" x14ac:dyDescent="0.45">
      <c r="A72" s="123"/>
      <c r="B72" s="124"/>
      <c r="C72" s="140"/>
      <c r="D72" s="141"/>
      <c r="E72" s="141"/>
      <c r="F72" s="134"/>
      <c r="G72" s="134"/>
      <c r="H72" s="134"/>
      <c r="I72" s="111"/>
      <c r="J72" s="111"/>
      <c r="K72" s="111"/>
      <c r="L72" s="111"/>
      <c r="M72" s="111"/>
      <c r="N72" s="99"/>
      <c r="O72" s="100"/>
    </row>
    <row r="73" spans="1:16" ht="15" customHeight="1" x14ac:dyDescent="0.45">
      <c r="A73" s="123"/>
      <c r="B73" s="124"/>
      <c r="C73" s="140"/>
      <c r="D73" s="141"/>
      <c r="E73" s="141"/>
      <c r="F73" s="134"/>
      <c r="G73" s="134"/>
      <c r="H73" s="134"/>
      <c r="I73" s="111"/>
      <c r="J73" s="111"/>
      <c r="K73" s="111"/>
      <c r="L73" s="111"/>
      <c r="M73" s="111"/>
      <c r="N73" s="99"/>
      <c r="O73" s="100"/>
    </row>
    <row r="74" spans="1:16" ht="15" customHeight="1" x14ac:dyDescent="0.45">
      <c r="A74" s="123"/>
      <c r="B74" s="124"/>
      <c r="C74" s="140"/>
      <c r="D74" s="141"/>
      <c r="E74" s="141"/>
      <c r="F74" s="134"/>
      <c r="G74" s="134"/>
      <c r="H74" s="134"/>
      <c r="I74" s="111"/>
      <c r="J74" s="111"/>
      <c r="K74" s="111"/>
      <c r="L74" s="111"/>
      <c r="M74" s="111"/>
      <c r="N74" s="99"/>
      <c r="O74" s="100"/>
    </row>
    <row r="75" spans="1:16" ht="18" customHeight="1" x14ac:dyDescent="0.35">
      <c r="A75" s="154" t="s">
        <v>60</v>
      </c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98"/>
      <c r="O75" s="98"/>
      <c r="P75" s="54"/>
    </row>
    <row r="76" spans="1:16" ht="24" customHeight="1" x14ac:dyDescent="0.35">
      <c r="A76" s="156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8"/>
      <c r="N76" s="101"/>
      <c r="O76" s="101"/>
    </row>
    <row r="77" spans="1:16" ht="24" customHeight="1" x14ac:dyDescent="0.35">
      <c r="A77" s="159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1"/>
      <c r="N77" s="101"/>
      <c r="O77" s="101"/>
    </row>
    <row r="78" spans="1:16" ht="24" customHeight="1" x14ac:dyDescent="0.35">
      <c r="A78" s="159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1"/>
      <c r="N78" s="101"/>
      <c r="O78" s="101"/>
    </row>
    <row r="79" spans="1:16" ht="24" customHeight="1" x14ac:dyDescent="0.35">
      <c r="A79" s="162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4"/>
      <c r="N79" s="101"/>
      <c r="O79" s="101"/>
    </row>
    <row r="80" spans="1:16" ht="9" customHeight="1" thickBot="1" x14ac:dyDescent="0.4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6"/>
      <c r="O80" s="56"/>
    </row>
    <row r="81" spans="1:15" ht="6.75" customHeight="1" x14ac:dyDescent="0.4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49"/>
      <c r="M81" s="48"/>
      <c r="N81" s="48"/>
      <c r="O81" s="48"/>
    </row>
    <row r="82" spans="1:15" ht="18" x14ac:dyDescent="0.4">
      <c r="A82" s="48"/>
      <c r="B82" s="152" t="s">
        <v>61</v>
      </c>
      <c r="C82" s="152"/>
      <c r="D82" s="153"/>
      <c r="E82" s="153"/>
      <c r="F82" s="153"/>
      <c r="G82" s="153"/>
      <c r="H82" s="48"/>
      <c r="I82" s="48"/>
      <c r="J82" s="48"/>
      <c r="K82" s="7" t="s">
        <v>62</v>
      </c>
      <c r="L82" s="231"/>
      <c r="M82" s="231"/>
      <c r="N82" s="231"/>
      <c r="O82" s="231"/>
    </row>
    <row r="83" spans="1:15" ht="18" x14ac:dyDescent="0.4">
      <c r="A83" s="48"/>
      <c r="B83" s="152" t="s">
        <v>63</v>
      </c>
      <c r="C83" s="152"/>
      <c r="D83" s="150"/>
      <c r="E83" s="150"/>
      <c r="F83" s="150"/>
      <c r="G83" s="150"/>
      <c r="H83" s="48"/>
      <c r="I83" s="48"/>
      <c r="J83" s="48"/>
      <c r="K83" s="7" t="s">
        <v>63</v>
      </c>
      <c r="L83" s="231"/>
      <c r="M83" s="231"/>
      <c r="N83" s="231"/>
      <c r="O83" s="231"/>
    </row>
    <row r="84" spans="1:15" ht="24" customHeight="1" x14ac:dyDescent="0.4">
      <c r="A84" s="48"/>
      <c r="B84" s="152" t="s">
        <v>64</v>
      </c>
      <c r="C84" s="152"/>
      <c r="D84" s="150"/>
      <c r="E84" s="150"/>
      <c r="F84" s="150"/>
      <c r="G84" s="150"/>
      <c r="H84" s="48"/>
      <c r="I84" s="48"/>
      <c r="J84" s="48"/>
      <c r="K84" s="7" t="s">
        <v>64</v>
      </c>
      <c r="L84" s="232"/>
      <c r="M84" s="232"/>
      <c r="N84" s="232"/>
      <c r="O84" s="232"/>
    </row>
    <row r="85" spans="1:15" x14ac:dyDescent="0.35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55"/>
    </row>
    <row r="86" spans="1:15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55"/>
    </row>
    <row r="87" spans="1:15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55"/>
    </row>
    <row r="88" spans="1:15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55"/>
    </row>
    <row r="89" spans="1:15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55"/>
    </row>
  </sheetData>
  <sheetProtection password="E17D" sheet="1" objects="1" scenarios="1"/>
  <mergeCells count="209">
    <mergeCell ref="B33:C33"/>
    <mergeCell ref="B34:C34"/>
    <mergeCell ref="B35:C35"/>
    <mergeCell ref="I31:J31"/>
    <mergeCell ref="B31:C31"/>
    <mergeCell ref="B32:C32"/>
    <mergeCell ref="N28:O28"/>
    <mergeCell ref="E34:G34"/>
    <mergeCell ref="I34:J34"/>
    <mergeCell ref="N34:O34"/>
    <mergeCell ref="N51:O51"/>
    <mergeCell ref="N37:O37"/>
    <mergeCell ref="E38:G38"/>
    <mergeCell ref="E43:G43"/>
    <mergeCell ref="E45:G45"/>
    <mergeCell ref="E42:G42"/>
    <mergeCell ref="E36:G36"/>
    <mergeCell ref="I30:J30"/>
    <mergeCell ref="I36:J36"/>
    <mergeCell ref="N36:O36"/>
    <mergeCell ref="E46:G46"/>
    <mergeCell ref="E47:G47"/>
    <mergeCell ref="I42:J42"/>
    <mergeCell ref="I43:J43"/>
    <mergeCell ref="E44:G44"/>
    <mergeCell ref="N39:O39"/>
    <mergeCell ref="N32:O32"/>
    <mergeCell ref="N33:O33"/>
    <mergeCell ref="E33:G33"/>
    <mergeCell ref="I32:J32"/>
    <mergeCell ref="I35:J35"/>
    <mergeCell ref="I33:J33"/>
    <mergeCell ref="N35:O35"/>
    <mergeCell ref="E35:G35"/>
    <mergeCell ref="N30:O30"/>
    <mergeCell ref="N31:O31"/>
    <mergeCell ref="E23:G23"/>
    <mergeCell ref="E25:G25"/>
    <mergeCell ref="E26:G26"/>
    <mergeCell ref="E27:G27"/>
    <mergeCell ref="E29:G29"/>
    <mergeCell ref="N50:O50"/>
    <mergeCell ref="I45:J45"/>
    <mergeCell ref="E40:G40"/>
    <mergeCell ref="I40:J40"/>
    <mergeCell ref="N40:O40"/>
    <mergeCell ref="I41:J41"/>
    <mergeCell ref="E49:G49"/>
    <mergeCell ref="N41:O41"/>
    <mergeCell ref="E48:G48"/>
    <mergeCell ref="I48:J48"/>
    <mergeCell ref="N49:O49"/>
    <mergeCell ref="I38:J38"/>
    <mergeCell ref="N38:O38"/>
    <mergeCell ref="I44:J44"/>
    <mergeCell ref="B27:C27"/>
    <mergeCell ref="B28:C28"/>
    <mergeCell ref="E28:G28"/>
    <mergeCell ref="I23:J23"/>
    <mergeCell ref="I25:J25"/>
    <mergeCell ref="I26:J26"/>
    <mergeCell ref="J8:O8"/>
    <mergeCell ref="G3:O3"/>
    <mergeCell ref="G4:I6"/>
    <mergeCell ref="J4:O6"/>
    <mergeCell ref="C11:H11"/>
    <mergeCell ref="J11:K11"/>
    <mergeCell ref="A3:E6"/>
    <mergeCell ref="A10:B10"/>
    <mergeCell ref="J10:K10"/>
    <mergeCell ref="A12:B12"/>
    <mergeCell ref="A15:B15"/>
    <mergeCell ref="J12:K12"/>
    <mergeCell ref="C10:H10"/>
    <mergeCell ref="C12:H12"/>
    <mergeCell ref="D1:O1"/>
    <mergeCell ref="N23:O23"/>
    <mergeCell ref="N25:O25"/>
    <mergeCell ref="N26:O26"/>
    <mergeCell ref="N27:O27"/>
    <mergeCell ref="N29:O29"/>
    <mergeCell ref="I27:J27"/>
    <mergeCell ref="I29:J29"/>
    <mergeCell ref="L22:O22"/>
    <mergeCell ref="C13:H13"/>
    <mergeCell ref="C14:H14"/>
    <mergeCell ref="C15:H15"/>
    <mergeCell ref="L11:O11"/>
    <mergeCell ref="L12:O12"/>
    <mergeCell ref="L14:O14"/>
    <mergeCell ref="A17:O17"/>
    <mergeCell ref="A13:B13"/>
    <mergeCell ref="A14:B14"/>
    <mergeCell ref="J13:K13"/>
    <mergeCell ref="N13:O13"/>
    <mergeCell ref="A9:B9"/>
    <mergeCell ref="C9:H9"/>
    <mergeCell ref="J9:K9"/>
    <mergeCell ref="J14:K14"/>
    <mergeCell ref="N42:O42"/>
    <mergeCell ref="N43:O43"/>
    <mergeCell ref="N44:O44"/>
    <mergeCell ref="C19:H19"/>
    <mergeCell ref="C20:H20"/>
    <mergeCell ref="B25:C25"/>
    <mergeCell ref="A22:B22"/>
    <mergeCell ref="A24:L24"/>
    <mergeCell ref="A18:B18"/>
    <mergeCell ref="A19:B19"/>
    <mergeCell ref="A20:B20"/>
    <mergeCell ref="B41:C41"/>
    <mergeCell ref="E41:G41"/>
    <mergeCell ref="B38:C38"/>
    <mergeCell ref="E30:G30"/>
    <mergeCell ref="E31:G31"/>
    <mergeCell ref="E32:G32"/>
    <mergeCell ref="I28:J28"/>
    <mergeCell ref="B29:C29"/>
    <mergeCell ref="B30:C30"/>
    <mergeCell ref="B36:C36"/>
    <mergeCell ref="A37:L37"/>
    <mergeCell ref="A39:L39"/>
    <mergeCell ref="B26:C26"/>
    <mergeCell ref="N45:O45"/>
    <mergeCell ref="B82:C82"/>
    <mergeCell ref="B83:C83"/>
    <mergeCell ref="J18:O21"/>
    <mergeCell ref="D63:I63"/>
    <mergeCell ref="D62:I62"/>
    <mergeCell ref="D59:I59"/>
    <mergeCell ref="D60:I60"/>
    <mergeCell ref="D61:I61"/>
    <mergeCell ref="C18:H18"/>
    <mergeCell ref="B45:C45"/>
    <mergeCell ref="B49:C49"/>
    <mergeCell ref="B51:C51"/>
    <mergeCell ref="C67:E67"/>
    <mergeCell ref="C68:E68"/>
    <mergeCell ref="C71:E71"/>
    <mergeCell ref="D55:I55"/>
    <mergeCell ref="D56:I56"/>
    <mergeCell ref="A50:L50"/>
    <mergeCell ref="I46:J46"/>
    <mergeCell ref="B42:C42"/>
    <mergeCell ref="B43:C43"/>
    <mergeCell ref="B44:C44"/>
    <mergeCell ref="B40:C40"/>
    <mergeCell ref="D83:G83"/>
    <mergeCell ref="A60:B60"/>
    <mergeCell ref="A61:B61"/>
    <mergeCell ref="A62:B62"/>
    <mergeCell ref="A63:B63"/>
    <mergeCell ref="D84:G84"/>
    <mergeCell ref="C73:E73"/>
    <mergeCell ref="C74:E74"/>
    <mergeCell ref="B84:C84"/>
    <mergeCell ref="D82:G82"/>
    <mergeCell ref="F74:H74"/>
    <mergeCell ref="A75:M75"/>
    <mergeCell ref="A76:M79"/>
    <mergeCell ref="L73:M73"/>
    <mergeCell ref="L74:M74"/>
    <mergeCell ref="L83:O83"/>
    <mergeCell ref="L82:O82"/>
    <mergeCell ref="L84:O84"/>
    <mergeCell ref="D64:I64"/>
    <mergeCell ref="A58:B58"/>
    <mergeCell ref="A59:B59"/>
    <mergeCell ref="C72:E72"/>
    <mergeCell ref="F67:H67"/>
    <mergeCell ref="I67:K67"/>
    <mergeCell ref="D58:I58"/>
    <mergeCell ref="A67:B67"/>
    <mergeCell ref="A66:M66"/>
    <mergeCell ref="A64:B64"/>
    <mergeCell ref="A71:B71"/>
    <mergeCell ref="L68:M68"/>
    <mergeCell ref="L71:M71"/>
    <mergeCell ref="L72:M72"/>
    <mergeCell ref="I68:K68"/>
    <mergeCell ref="I71:K71"/>
    <mergeCell ref="I72:K72"/>
    <mergeCell ref="L70:M70"/>
    <mergeCell ref="A68:B68"/>
    <mergeCell ref="L67:M67"/>
    <mergeCell ref="B46:C46"/>
    <mergeCell ref="I73:K73"/>
    <mergeCell ref="I74:K74"/>
    <mergeCell ref="B47:C47"/>
    <mergeCell ref="A55:B55"/>
    <mergeCell ref="A56:B56"/>
    <mergeCell ref="A57:B57"/>
    <mergeCell ref="I49:J49"/>
    <mergeCell ref="I51:J51"/>
    <mergeCell ref="E51:G51"/>
    <mergeCell ref="D57:I57"/>
    <mergeCell ref="I47:J47"/>
    <mergeCell ref="B48:C48"/>
    <mergeCell ref="A74:B74"/>
    <mergeCell ref="A70:B70"/>
    <mergeCell ref="C70:E70"/>
    <mergeCell ref="F70:H70"/>
    <mergeCell ref="I70:K70"/>
    <mergeCell ref="A72:B72"/>
    <mergeCell ref="F68:H68"/>
    <mergeCell ref="F71:H71"/>
    <mergeCell ref="F72:H72"/>
    <mergeCell ref="F73:H73"/>
    <mergeCell ref="A73:B73"/>
  </mergeCells>
  <phoneticPr fontId="1" type="noConversion"/>
  <dataValidations count="10">
    <dataValidation type="list" allowBlank="1" showInputMessage="1" showErrorMessage="1" sqref="K11:L11" xr:uid="{34EF4ED2-02B9-4808-9E4C-B4D53FB71025}">
      <formula1>Req_purpose</formula1>
    </dataValidation>
    <dataValidation type="list" allowBlank="1" showInputMessage="1" showErrorMessage="1" sqref="K12:K13 L12" xr:uid="{9B3FA0F2-9697-45F1-885F-4543D58469AF}">
      <formula1>Means_transport</formula1>
    </dataValidation>
    <dataValidation type="list" allowBlank="1" showInputMessage="1" showErrorMessage="1" prompt="Select from dropdown" sqref="D57:I57" xr:uid="{F7735403-4CED-4866-AFFF-0B924FE02EF2}">
      <formula1>Yes_no</formula1>
    </dataValidation>
    <dataValidation type="list" allowBlank="1" showInputMessage="1" showErrorMessage="1" prompt="Select from the dropdown" sqref="D60:I60" xr:uid="{E00DD1F5-100A-40C3-A0DD-E1C0AE71ACDE}">
      <formula1>States</formula1>
    </dataValidation>
    <dataValidation type="list" allowBlank="1" showInputMessage="1" showErrorMessage="1" prompt="Select from the dropdown" sqref="D61:I61" xr:uid="{77A35212-56BA-455A-83C2-CF3B86F7098A}">
      <formula1>OFFSET(State_start_col,MATCH(D60,State_col,0)-1,1,COUNTIF(State_col,D60),1)</formula1>
    </dataValidation>
    <dataValidation allowBlank="1" showErrorMessage="1" prompt="Select from the dropdown" sqref="D63:I65 D56:I56" xr:uid="{CE654CEC-5934-474F-951A-15B0A41D87EC}"/>
    <dataValidation type="list" allowBlank="1" showInputMessage="1" showErrorMessage="1" prompt="Select from dropdown menu" sqref="C10:H10" xr:uid="{35EA952B-0208-473B-8732-3CA45AE5BBBD}">
      <formula1>Partners_</formula1>
    </dataValidation>
    <dataValidation allowBlank="1" showErrorMessage="1" prompt="Select from dropdown menu" sqref="C11:H11" xr:uid="{8A75B67F-079D-4207-9AE9-8269F0ECCDB7}"/>
    <dataValidation type="list" allowBlank="1" showInputMessage="1" showErrorMessage="1" sqref="A25:A36" xr:uid="{5B2EE143-82A1-4ABD-BA04-50BE9DE1D848}">
      <formula1>NFI_ITEMS1</formula1>
    </dataValidation>
    <dataValidation type="list" allowBlank="1" showInputMessage="1" showErrorMessage="1" sqref="A40:A49" xr:uid="{F0F7C2CE-C935-4D03-82DA-82C0CB6FB48E}">
      <formula1>Shelter_items1</formula1>
    </dataValidation>
  </dataValidations>
  <hyperlinks>
    <hyperlink ref="J18:O21" r:id="rId1" location="gid=339602611" display="Online available stock from the pipeline is available here!" xr:uid="{18F6587D-F9CC-4191-8EA9-C31B9F8DDFEC}"/>
    <hyperlink ref="A3:E6" r:id="rId2" display="mailto:scsouthsudan-pipeline@googlegroups.com?subject=Pipeline%20Request" xr:uid="{553B9F1C-468F-4C55-8B9A-EAFE29D39707}"/>
  </hyperlinks>
  <pageMargins left="0.25" right="0.15748031496063" top="0.2" bottom="0.2" header="0.31496062992126" footer="0.31496062992126"/>
  <pageSetup paperSize="9" scale="4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D337-9E5C-42C3-A3AC-8DF45194B21B}">
  <dimension ref="A1:B21"/>
  <sheetViews>
    <sheetView workbookViewId="0">
      <selection activeCell="B22" sqref="B22"/>
    </sheetView>
  </sheetViews>
  <sheetFormatPr defaultRowHeight="14.5" x14ac:dyDescent="0.35"/>
  <cols>
    <col min="1" max="1" width="15.7265625" customWidth="1"/>
    <col min="2" max="2" width="24.26953125" bestFit="1" customWidth="1"/>
  </cols>
  <sheetData>
    <row r="1" spans="1:2" ht="15.5" x14ac:dyDescent="0.35">
      <c r="A1" s="24" t="s">
        <v>65</v>
      </c>
      <c r="B1" s="24" t="s">
        <v>66</v>
      </c>
    </row>
    <row r="2" spans="1:2" ht="15.5" x14ac:dyDescent="0.35">
      <c r="A2" s="21" t="s">
        <v>67</v>
      </c>
      <c r="B2" s="21" t="s">
        <v>68</v>
      </c>
    </row>
    <row r="3" spans="1:2" ht="15.5" x14ac:dyDescent="0.35">
      <c r="A3" s="21" t="s">
        <v>69</v>
      </c>
      <c r="B3" s="21" t="s">
        <v>38</v>
      </c>
    </row>
    <row r="4" spans="1:2" ht="15.5" x14ac:dyDescent="0.35">
      <c r="A4" s="21" t="s">
        <v>70</v>
      </c>
      <c r="B4" s="21" t="s">
        <v>71</v>
      </c>
    </row>
    <row r="5" spans="1:2" ht="15.5" x14ac:dyDescent="0.35">
      <c r="A5" s="21" t="s">
        <v>72</v>
      </c>
      <c r="B5" s="21" t="s">
        <v>73</v>
      </c>
    </row>
    <row r="6" spans="1:2" ht="15.5" x14ac:dyDescent="0.35">
      <c r="A6" s="21" t="s">
        <v>74</v>
      </c>
      <c r="B6" s="21" t="s">
        <v>75</v>
      </c>
    </row>
    <row r="7" spans="1:2" ht="15.5" x14ac:dyDescent="0.35">
      <c r="A7" s="21" t="s">
        <v>76</v>
      </c>
      <c r="B7" s="21" t="s">
        <v>77</v>
      </c>
    </row>
    <row r="8" spans="1:2" ht="15.5" x14ac:dyDescent="0.35">
      <c r="A8" s="21" t="s">
        <v>78</v>
      </c>
      <c r="B8" s="21" t="s">
        <v>79</v>
      </c>
    </row>
    <row r="9" spans="1:2" ht="15.5" x14ac:dyDescent="0.35">
      <c r="A9" s="21" t="s">
        <v>80</v>
      </c>
      <c r="B9" s="21" t="s">
        <v>81</v>
      </c>
    </row>
    <row r="10" spans="1:2" ht="15.5" x14ac:dyDescent="0.35">
      <c r="A10" s="21" t="s">
        <v>82</v>
      </c>
      <c r="B10" s="21" t="s">
        <v>83</v>
      </c>
    </row>
    <row r="11" spans="1:2" ht="15.5" x14ac:dyDescent="0.35">
      <c r="A11" s="21" t="s">
        <v>84</v>
      </c>
      <c r="B11" s="21" t="s">
        <v>85</v>
      </c>
    </row>
    <row r="12" spans="1:2" ht="15.5" x14ac:dyDescent="0.35">
      <c r="A12" s="21" t="s">
        <v>86</v>
      </c>
      <c r="B12" s="21" t="s">
        <v>87</v>
      </c>
    </row>
    <row r="13" spans="1:2" ht="15.5" x14ac:dyDescent="0.35">
      <c r="A13" s="21" t="s">
        <v>88</v>
      </c>
      <c r="B13" s="21" t="s">
        <v>89</v>
      </c>
    </row>
    <row r="14" spans="1:2" ht="15.5" x14ac:dyDescent="0.35">
      <c r="A14" s="21" t="s">
        <v>90</v>
      </c>
      <c r="B14" s="21" t="s">
        <v>91</v>
      </c>
    </row>
    <row r="15" spans="1:2" ht="15.5" x14ac:dyDescent="0.35">
      <c r="A15" s="21" t="s">
        <v>92</v>
      </c>
      <c r="B15" s="21" t="s">
        <v>93</v>
      </c>
    </row>
    <row r="16" spans="1:2" ht="15.5" x14ac:dyDescent="0.35">
      <c r="A16" s="21" t="s">
        <v>94</v>
      </c>
      <c r="B16" s="21" t="s">
        <v>95</v>
      </c>
    </row>
    <row r="17" spans="1:2" ht="15.5" x14ac:dyDescent="0.35">
      <c r="A17" s="21" t="s">
        <v>96</v>
      </c>
      <c r="B17" s="21" t="s">
        <v>97</v>
      </c>
    </row>
    <row r="18" spans="1:2" ht="15.5" x14ac:dyDescent="0.35">
      <c r="A18" s="21" t="s">
        <v>98</v>
      </c>
      <c r="B18" s="21" t="s">
        <v>99</v>
      </c>
    </row>
    <row r="19" spans="1:2" ht="15.5" x14ac:dyDescent="0.35">
      <c r="A19" s="21" t="s">
        <v>100</v>
      </c>
      <c r="B19" s="21" t="s">
        <v>101</v>
      </c>
    </row>
    <row r="20" spans="1:2" ht="15.5" x14ac:dyDescent="0.35">
      <c r="A20" s="21" t="s">
        <v>102</v>
      </c>
      <c r="B20" s="21" t="s">
        <v>103</v>
      </c>
    </row>
    <row r="21" spans="1:2" ht="15.5" x14ac:dyDescent="0.35">
      <c r="A21" s="21" t="s">
        <v>104</v>
      </c>
      <c r="B21" s="2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E128-4A77-41AD-8239-0535E10C4BB0}">
  <sheetPr>
    <pageSetUpPr fitToPage="1"/>
  </sheetPr>
  <dimension ref="A1:J22"/>
  <sheetViews>
    <sheetView workbookViewId="0">
      <selection activeCell="C22" sqref="C22"/>
    </sheetView>
  </sheetViews>
  <sheetFormatPr defaultColWidth="8.81640625" defaultRowHeight="14.5" x14ac:dyDescent="0.35"/>
  <cols>
    <col min="1" max="1" width="25.7265625" customWidth="1"/>
    <col min="2" max="2" width="36.7265625" customWidth="1"/>
    <col min="3" max="3" width="12.54296875" bestFit="1" customWidth="1"/>
    <col min="4" max="4" width="25.7265625" customWidth="1"/>
    <col min="5" max="7" width="12.7265625" customWidth="1"/>
    <col min="8" max="8" width="14.26953125" customWidth="1"/>
    <col min="10" max="10" width="10.1796875" customWidth="1"/>
    <col min="11" max="11" width="26.81640625" customWidth="1"/>
    <col min="12" max="12" width="17.453125" bestFit="1" customWidth="1"/>
  </cols>
  <sheetData>
    <row r="1" spans="1:10" s="1" customFormat="1" ht="29" x14ac:dyDescent="0.35">
      <c r="A1" s="24" t="s">
        <v>66</v>
      </c>
      <c r="B1" s="24" t="s">
        <v>106</v>
      </c>
      <c r="C1" s="24" t="s">
        <v>65</v>
      </c>
      <c r="D1" s="24" t="s">
        <v>107</v>
      </c>
      <c r="E1" s="20" t="s">
        <v>108</v>
      </c>
      <c r="F1" s="20" t="s">
        <v>109</v>
      </c>
      <c r="G1" s="20" t="s">
        <v>110</v>
      </c>
      <c r="H1" s="20" t="s">
        <v>111</v>
      </c>
      <c r="I1" s="20" t="s">
        <v>112</v>
      </c>
      <c r="J1" s="20" t="s">
        <v>113</v>
      </c>
    </row>
    <row r="2" spans="1:10" ht="15.5" x14ac:dyDescent="0.35">
      <c r="A2" s="21" t="s">
        <v>68</v>
      </c>
      <c r="B2" s="21" t="s">
        <v>37</v>
      </c>
      <c r="C2" s="21" t="s">
        <v>67</v>
      </c>
      <c r="D2" s="6">
        <v>1</v>
      </c>
      <c r="E2" s="6">
        <v>96</v>
      </c>
      <c r="F2" s="6">
        <v>96</v>
      </c>
      <c r="G2" s="6">
        <v>25</v>
      </c>
      <c r="H2" s="6">
        <v>13</v>
      </c>
      <c r="I2" s="6">
        <v>7.4999999999999997E-2</v>
      </c>
      <c r="J2" s="22">
        <v>44.72</v>
      </c>
    </row>
    <row r="3" spans="1:10" ht="15.5" x14ac:dyDescent="0.35">
      <c r="A3" s="21" t="s">
        <v>38</v>
      </c>
      <c r="B3" s="21" t="s">
        <v>37</v>
      </c>
      <c r="C3" s="21" t="s">
        <v>69</v>
      </c>
      <c r="D3" s="6">
        <v>50</v>
      </c>
      <c r="E3" s="6">
        <v>68</v>
      </c>
      <c r="F3" s="6">
        <v>50</v>
      </c>
      <c r="G3" s="6">
        <v>40</v>
      </c>
      <c r="H3" s="6">
        <v>51</v>
      </c>
      <c r="I3" s="6">
        <v>0.13600000000000001</v>
      </c>
      <c r="J3" s="22">
        <v>2.73</v>
      </c>
    </row>
    <row r="4" spans="1:10" ht="15.5" x14ac:dyDescent="0.35">
      <c r="A4" s="21" t="s">
        <v>71</v>
      </c>
      <c r="B4" s="21" t="s">
        <v>37</v>
      </c>
      <c r="C4" s="21" t="s">
        <v>70</v>
      </c>
      <c r="D4" s="6">
        <v>200</v>
      </c>
      <c r="E4" s="6">
        <v>120</v>
      </c>
      <c r="F4" s="6">
        <v>40</v>
      </c>
      <c r="G4" s="6">
        <v>30</v>
      </c>
      <c r="H4" s="6">
        <v>88.4</v>
      </c>
      <c r="I4" s="6">
        <v>0.14399999999999999</v>
      </c>
      <c r="J4" s="22">
        <v>2.29</v>
      </c>
    </row>
    <row r="5" spans="1:10" ht="15.5" x14ac:dyDescent="0.35">
      <c r="A5" s="21" t="s">
        <v>73</v>
      </c>
      <c r="B5" s="21" t="s">
        <v>37</v>
      </c>
      <c r="C5" s="21" t="s">
        <v>72</v>
      </c>
      <c r="D5" s="6">
        <v>4</v>
      </c>
      <c r="E5" s="6">
        <v>55</v>
      </c>
      <c r="F5" s="6">
        <v>30</v>
      </c>
      <c r="G5" s="6">
        <v>34</v>
      </c>
      <c r="H5" s="6">
        <v>16.399999999999999</v>
      </c>
      <c r="I5" s="6">
        <v>5.6099999999999997E-2</v>
      </c>
      <c r="J5" s="22">
        <v>12</v>
      </c>
    </row>
    <row r="6" spans="1:10" ht="15.5" x14ac:dyDescent="0.35">
      <c r="A6" s="21" t="s">
        <v>75</v>
      </c>
      <c r="B6" s="21" t="s">
        <v>37</v>
      </c>
      <c r="C6" s="21" t="s">
        <v>74</v>
      </c>
      <c r="D6" s="6">
        <v>50</v>
      </c>
      <c r="E6" s="6">
        <v>63</v>
      </c>
      <c r="F6" s="6">
        <v>40</v>
      </c>
      <c r="G6" s="6">
        <v>30</v>
      </c>
      <c r="H6" s="6">
        <v>22.5</v>
      </c>
      <c r="I6" s="6">
        <v>7.5600000000000001E-2</v>
      </c>
      <c r="J6" s="22">
        <v>1.82</v>
      </c>
    </row>
    <row r="7" spans="1:10" ht="15.5" x14ac:dyDescent="0.35">
      <c r="A7" s="21" t="s">
        <v>77</v>
      </c>
      <c r="B7" s="21" t="s">
        <v>37</v>
      </c>
      <c r="C7" s="21" t="s">
        <v>76</v>
      </c>
      <c r="D7" s="6">
        <v>50</v>
      </c>
      <c r="E7" s="6">
        <v>95</v>
      </c>
      <c r="F7" s="6">
        <v>54</v>
      </c>
      <c r="G7" s="6">
        <v>50</v>
      </c>
      <c r="H7" s="6">
        <v>43</v>
      </c>
      <c r="I7" s="6">
        <v>0.25650000000000001</v>
      </c>
      <c r="J7" s="22">
        <v>2.2999999999999998</v>
      </c>
    </row>
    <row r="8" spans="1:10" ht="15.5" x14ac:dyDescent="0.35">
      <c r="A8" s="21" t="s">
        <v>114</v>
      </c>
      <c r="B8" s="21" t="s">
        <v>37</v>
      </c>
      <c r="C8" s="21" t="s">
        <v>78</v>
      </c>
      <c r="D8" s="6">
        <v>5</v>
      </c>
      <c r="E8" s="6">
        <v>63</v>
      </c>
      <c r="F8" s="6">
        <v>46</v>
      </c>
      <c r="G8" s="6">
        <v>18</v>
      </c>
      <c r="H8" s="6">
        <v>22.8</v>
      </c>
      <c r="I8" s="6">
        <v>5.2164000000000002E-2</v>
      </c>
      <c r="J8" s="22">
        <v>12.59</v>
      </c>
    </row>
    <row r="9" spans="1:10" ht="15.5" x14ac:dyDescent="0.35">
      <c r="A9" s="21" t="s">
        <v>81</v>
      </c>
      <c r="B9" s="21" t="s">
        <v>37</v>
      </c>
      <c r="C9" s="21" t="s">
        <v>80</v>
      </c>
      <c r="D9" s="6">
        <v>50</v>
      </c>
      <c r="E9" s="6">
        <v>61</v>
      </c>
      <c r="F9" s="6">
        <v>22</v>
      </c>
      <c r="G9" s="6">
        <v>26</v>
      </c>
      <c r="H9" s="6">
        <v>10</v>
      </c>
      <c r="I9" s="6">
        <v>3.4891999999999999E-2</v>
      </c>
      <c r="J9" s="23">
        <v>5</v>
      </c>
    </row>
    <row r="10" spans="1:10" ht="15.5" x14ac:dyDescent="0.35">
      <c r="A10" s="21" t="s">
        <v>83</v>
      </c>
      <c r="B10" s="21" t="s">
        <v>37</v>
      </c>
      <c r="C10" s="21" t="s">
        <v>82</v>
      </c>
      <c r="D10" s="6">
        <v>50</v>
      </c>
      <c r="E10" s="6">
        <v>55</v>
      </c>
      <c r="F10" s="6">
        <v>55</v>
      </c>
      <c r="G10" s="6">
        <v>25</v>
      </c>
      <c r="H10" s="6">
        <v>27</v>
      </c>
      <c r="I10" s="6">
        <v>7.5624999999999998E-2</v>
      </c>
      <c r="J10" s="22">
        <v>1.85</v>
      </c>
    </row>
    <row r="11" spans="1:10" ht="15.5" x14ac:dyDescent="0.35">
      <c r="A11" s="21" t="s">
        <v>85</v>
      </c>
      <c r="B11" s="21" t="s">
        <v>115</v>
      </c>
      <c r="C11" s="21" t="s">
        <v>84</v>
      </c>
      <c r="D11" s="6">
        <v>1</v>
      </c>
      <c r="E11" s="6">
        <v>0</v>
      </c>
      <c r="F11" s="6">
        <v>0</v>
      </c>
      <c r="G11" s="6">
        <v>0</v>
      </c>
      <c r="H11" s="6">
        <v>4.2</v>
      </c>
      <c r="I11" s="6">
        <v>4.4999999999999998E-2</v>
      </c>
      <c r="J11" s="23">
        <v>20</v>
      </c>
    </row>
    <row r="12" spans="1:10" ht="15.5" x14ac:dyDescent="0.35">
      <c r="A12" s="21" t="s">
        <v>87</v>
      </c>
      <c r="B12" s="21" t="s">
        <v>115</v>
      </c>
      <c r="C12" s="21" t="s">
        <v>86</v>
      </c>
      <c r="D12" s="6">
        <v>24</v>
      </c>
      <c r="E12" s="6">
        <v>0</v>
      </c>
      <c r="F12" s="6">
        <v>0</v>
      </c>
      <c r="G12" s="6">
        <v>0</v>
      </c>
      <c r="H12" s="6">
        <f>0.5*24</f>
        <v>12</v>
      </c>
      <c r="I12" s="6"/>
      <c r="J12" s="23"/>
    </row>
    <row r="13" spans="1:10" ht="15.5" x14ac:dyDescent="0.35">
      <c r="A13" s="21" t="s">
        <v>114</v>
      </c>
      <c r="B13" s="21" t="s">
        <v>40</v>
      </c>
      <c r="C13" s="21" t="s">
        <v>88</v>
      </c>
      <c r="D13" s="6"/>
      <c r="E13" s="6"/>
      <c r="F13" s="6"/>
      <c r="G13" s="6"/>
      <c r="H13" s="6"/>
      <c r="I13" s="6"/>
      <c r="J13" s="23"/>
    </row>
    <row r="14" spans="1:10" ht="15.5" x14ac:dyDescent="0.35">
      <c r="A14" s="21" t="s">
        <v>89</v>
      </c>
      <c r="B14" s="21" t="s">
        <v>40</v>
      </c>
      <c r="C14" s="21" t="s">
        <v>90</v>
      </c>
      <c r="D14" s="6">
        <v>1</v>
      </c>
      <c r="E14" s="6">
        <v>400</v>
      </c>
      <c r="F14" s="6">
        <v>20</v>
      </c>
      <c r="G14" s="6">
        <v>20</v>
      </c>
      <c r="H14" s="6">
        <v>15</v>
      </c>
      <c r="I14" s="6">
        <v>0.16</v>
      </c>
      <c r="J14" s="22">
        <v>4.5</v>
      </c>
    </row>
    <row r="15" spans="1:10" ht="15.5" x14ac:dyDescent="0.35">
      <c r="A15" s="21" t="s">
        <v>91</v>
      </c>
      <c r="B15" s="21" t="s">
        <v>40</v>
      </c>
      <c r="C15" s="21" t="s">
        <v>92</v>
      </c>
      <c r="D15" s="6">
        <v>1</v>
      </c>
      <c r="E15" s="6">
        <v>4</v>
      </c>
      <c r="F15" s="6">
        <v>0</v>
      </c>
      <c r="G15" s="6">
        <v>0</v>
      </c>
      <c r="H15" s="6">
        <v>15</v>
      </c>
      <c r="I15" s="6">
        <v>4.2999999999999997E-2</v>
      </c>
      <c r="J15" s="22">
        <v>6</v>
      </c>
    </row>
    <row r="16" spans="1:10" ht="15.5" x14ac:dyDescent="0.35">
      <c r="A16" s="21" t="s">
        <v>93</v>
      </c>
      <c r="B16" s="21" t="s">
        <v>40</v>
      </c>
      <c r="C16" s="21" t="s">
        <v>94</v>
      </c>
      <c r="D16" s="6">
        <v>1000</v>
      </c>
      <c r="E16" s="6">
        <v>70</v>
      </c>
      <c r="F16" s="6">
        <v>50</v>
      </c>
      <c r="G16" s="6">
        <v>30</v>
      </c>
      <c r="H16" s="6">
        <v>42.5</v>
      </c>
      <c r="I16" s="6">
        <v>0.105</v>
      </c>
      <c r="J16" s="22">
        <v>0.77</v>
      </c>
    </row>
    <row r="17" spans="1:10" ht="15.5" x14ac:dyDescent="0.35">
      <c r="A17" s="21" t="s">
        <v>95</v>
      </c>
      <c r="B17" s="21" t="s">
        <v>40</v>
      </c>
      <c r="C17" s="21" t="s">
        <v>96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457</v>
      </c>
    </row>
    <row r="18" spans="1:10" ht="15.5" x14ac:dyDescent="0.35">
      <c r="A18" s="21" t="s">
        <v>97</v>
      </c>
      <c r="B18" s="21" t="s">
        <v>40</v>
      </c>
      <c r="C18" s="21" t="s">
        <v>98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457</v>
      </c>
    </row>
    <row r="19" spans="1:10" ht="15.5" x14ac:dyDescent="0.35">
      <c r="A19" s="21" t="s">
        <v>99</v>
      </c>
      <c r="B19" s="21" t="s">
        <v>40</v>
      </c>
      <c r="C19" s="21" t="s">
        <v>100</v>
      </c>
      <c r="D19" s="6">
        <v>70</v>
      </c>
      <c r="E19" s="6">
        <v>100</v>
      </c>
      <c r="F19" s="6">
        <v>60</v>
      </c>
      <c r="G19" s="6">
        <v>20</v>
      </c>
      <c r="H19" s="6">
        <v>52.3</v>
      </c>
      <c r="I19" s="6">
        <v>0.12</v>
      </c>
      <c r="J19" s="22">
        <v>5</v>
      </c>
    </row>
    <row r="20" spans="1:10" ht="15.5" x14ac:dyDescent="0.35">
      <c r="A20" s="21" t="s">
        <v>101</v>
      </c>
      <c r="B20" s="21" t="s">
        <v>40</v>
      </c>
      <c r="C20" s="21" t="s">
        <v>102</v>
      </c>
      <c r="D20" s="6">
        <v>6</v>
      </c>
      <c r="E20" s="6">
        <v>40</v>
      </c>
      <c r="F20" s="6">
        <v>11</v>
      </c>
      <c r="G20" s="6">
        <v>6</v>
      </c>
      <c r="H20" s="6">
        <v>2.8</v>
      </c>
      <c r="I20" s="6">
        <v>2.64E-3</v>
      </c>
      <c r="J20" s="23">
        <v>1</v>
      </c>
    </row>
    <row r="21" spans="1:10" ht="15.5" x14ac:dyDescent="0.35">
      <c r="A21" s="21" t="s">
        <v>103</v>
      </c>
      <c r="B21" s="21" t="s">
        <v>40</v>
      </c>
      <c r="C21" s="21" t="s">
        <v>104</v>
      </c>
      <c r="D21" s="6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23">
        <v>5</v>
      </c>
    </row>
    <row r="22" spans="1:10" ht="15.5" x14ac:dyDescent="0.35">
      <c r="A22" s="21" t="s">
        <v>105</v>
      </c>
      <c r="B22" s="21" t="s">
        <v>40</v>
      </c>
      <c r="C22" s="21" t="s">
        <v>116</v>
      </c>
      <c r="D22" s="6">
        <v>100</v>
      </c>
      <c r="E22" s="6">
        <v>90</v>
      </c>
      <c r="F22" s="6">
        <v>40</v>
      </c>
      <c r="G22" s="6">
        <v>30</v>
      </c>
      <c r="H22" s="6">
        <v>27</v>
      </c>
      <c r="I22" s="6">
        <v>0.108</v>
      </c>
      <c r="J22" s="22">
        <v>4.5</v>
      </c>
    </row>
  </sheetData>
  <sheetProtection sheet="1" objects="1" scenarios="1"/>
  <pageMargins left="0.7" right="0.7" top="0.75" bottom="0.75" header="0.3" footer="0.3"/>
  <pageSetup paperSize="9" scale="6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72CB-3614-4A39-A955-F54E33007ADF}">
  <dimension ref="A1:R121"/>
  <sheetViews>
    <sheetView topLeftCell="F100" zoomScale="70" zoomScaleNormal="70" workbookViewId="0">
      <selection activeCell="G122" sqref="G122"/>
    </sheetView>
  </sheetViews>
  <sheetFormatPr defaultColWidth="9.1796875" defaultRowHeight="18.5" x14ac:dyDescent="0.45"/>
  <cols>
    <col min="1" max="1" width="22.81640625" style="9" hidden="1" customWidth="1"/>
    <col min="2" max="2" width="14.54296875" style="9" hidden="1" customWidth="1"/>
    <col min="3" max="3" width="7.7265625" style="9" hidden="1" customWidth="1"/>
    <col min="4" max="4" width="13.1796875" style="9" hidden="1" customWidth="1"/>
    <col min="5" max="5" width="14.1796875" style="9" hidden="1" customWidth="1"/>
    <col min="6" max="6" width="31.81640625" style="9" customWidth="1"/>
    <col min="7" max="7" width="27.26953125" style="9" customWidth="1"/>
    <col min="8" max="9" width="9.1796875" style="9" hidden="1" customWidth="1"/>
    <col min="10" max="10" width="21.1796875" style="9" hidden="1" customWidth="1"/>
    <col min="11" max="12" width="9.1796875" style="9" hidden="1" customWidth="1"/>
    <col min="13" max="13" width="21.1796875" style="9" hidden="1" customWidth="1"/>
    <col min="14" max="14" width="16.7265625" style="9" hidden="1" customWidth="1"/>
    <col min="15" max="15" width="12.54296875" style="9" hidden="1" customWidth="1"/>
    <col min="16" max="16" width="9.1796875" style="9" hidden="1" customWidth="1"/>
    <col min="17" max="17" width="12.1796875" style="9" hidden="1" customWidth="1"/>
    <col min="18" max="18" width="9.1796875" style="9" hidden="1" customWidth="1"/>
    <col min="19" max="27" width="0" style="9" hidden="1" customWidth="1"/>
    <col min="28" max="16384" width="9.1796875" style="9"/>
  </cols>
  <sheetData>
    <row r="1" spans="1:17" x14ac:dyDescent="0.45">
      <c r="A1" s="9" t="s">
        <v>117</v>
      </c>
      <c r="C1" s="9" t="s">
        <v>118</v>
      </c>
      <c r="F1" s="10" t="s">
        <v>119</v>
      </c>
      <c r="G1" s="10" t="s">
        <v>120</v>
      </c>
      <c r="I1" s="9" t="s">
        <v>121</v>
      </c>
      <c r="J1" s="11" t="s">
        <v>122</v>
      </c>
      <c r="K1" s="11" t="s">
        <v>123</v>
      </c>
      <c r="L1" s="11"/>
      <c r="M1" s="11" t="s">
        <v>122</v>
      </c>
      <c r="N1" s="12" t="s">
        <v>124</v>
      </c>
      <c r="O1" s="12" t="s">
        <v>125</v>
      </c>
      <c r="Q1" s="9" t="s">
        <v>126</v>
      </c>
    </row>
    <row r="2" spans="1:17" x14ac:dyDescent="0.45">
      <c r="A2" s="9" t="s">
        <v>12</v>
      </c>
      <c r="C2" s="9" t="s">
        <v>16</v>
      </c>
      <c r="F2" s="13" t="s">
        <v>127</v>
      </c>
      <c r="G2" s="14" t="s">
        <v>128</v>
      </c>
      <c r="I2" s="9" t="s">
        <v>129</v>
      </c>
      <c r="J2" s="15" t="s">
        <v>130</v>
      </c>
      <c r="K2" s="16">
        <v>92</v>
      </c>
      <c r="L2" s="15"/>
      <c r="M2" s="16" t="s">
        <v>131</v>
      </c>
      <c r="N2" s="16" t="s">
        <v>131</v>
      </c>
      <c r="O2" s="15">
        <v>9901</v>
      </c>
      <c r="Q2" s="9" t="s">
        <v>121</v>
      </c>
    </row>
    <row r="3" spans="1:17" x14ac:dyDescent="0.45">
      <c r="A3" s="9" t="s">
        <v>13</v>
      </c>
      <c r="C3" s="9" t="s">
        <v>132</v>
      </c>
      <c r="F3" s="17" t="s">
        <v>133</v>
      </c>
      <c r="G3" s="18" t="s">
        <v>134</v>
      </c>
      <c r="J3" s="15" t="s">
        <v>135</v>
      </c>
      <c r="K3" s="16">
        <v>93</v>
      </c>
      <c r="L3" s="15"/>
      <c r="M3" s="16" t="s">
        <v>130</v>
      </c>
      <c r="N3" s="16" t="s">
        <v>136</v>
      </c>
      <c r="O3" s="15">
        <v>9202</v>
      </c>
      <c r="Q3" s="9" t="s">
        <v>129</v>
      </c>
    </row>
    <row r="4" spans="1:17" x14ac:dyDescent="0.45">
      <c r="F4" s="13" t="s">
        <v>137</v>
      </c>
      <c r="G4" s="14" t="s">
        <v>138</v>
      </c>
      <c r="J4" s="15" t="s">
        <v>139</v>
      </c>
      <c r="K4" s="16">
        <v>72</v>
      </c>
      <c r="L4" s="15"/>
      <c r="M4" s="16" t="s">
        <v>130</v>
      </c>
      <c r="N4" s="16" t="s">
        <v>140</v>
      </c>
      <c r="O4" s="15">
        <v>9206</v>
      </c>
    </row>
    <row r="5" spans="1:17" x14ac:dyDescent="0.45">
      <c r="F5" s="17" t="s">
        <v>141</v>
      </c>
      <c r="G5" s="18" t="s">
        <v>142</v>
      </c>
      <c r="J5" s="15" t="s">
        <v>143</v>
      </c>
      <c r="K5" s="16">
        <v>84</v>
      </c>
      <c r="L5" s="15"/>
      <c r="M5" s="16" t="s">
        <v>130</v>
      </c>
      <c r="N5" s="16" t="s">
        <v>144</v>
      </c>
      <c r="O5" s="15">
        <v>9203</v>
      </c>
    </row>
    <row r="6" spans="1:17" x14ac:dyDescent="0.45">
      <c r="F6" s="13" t="s">
        <v>145</v>
      </c>
      <c r="G6" s="14" t="s">
        <v>146</v>
      </c>
      <c r="J6" s="15" t="s">
        <v>147</v>
      </c>
      <c r="K6" s="16">
        <v>82</v>
      </c>
      <c r="L6" s="15"/>
      <c r="M6" s="16" t="s">
        <v>130</v>
      </c>
      <c r="N6" s="16" t="s">
        <v>148</v>
      </c>
      <c r="O6" s="15">
        <v>9205</v>
      </c>
    </row>
    <row r="7" spans="1:17" x14ac:dyDescent="0.45">
      <c r="F7" s="17" t="s">
        <v>149</v>
      </c>
      <c r="G7" s="18" t="s">
        <v>150</v>
      </c>
      <c r="J7" s="15" t="s">
        <v>151</v>
      </c>
      <c r="K7" s="16">
        <v>73</v>
      </c>
      <c r="L7" s="15"/>
      <c r="M7" s="16" t="s">
        <v>130</v>
      </c>
      <c r="N7" s="16" t="s">
        <v>152</v>
      </c>
      <c r="O7" s="15">
        <v>9201</v>
      </c>
    </row>
    <row r="8" spans="1:17" x14ac:dyDescent="0.45">
      <c r="F8" s="13" t="s">
        <v>153</v>
      </c>
      <c r="G8" s="14" t="s">
        <v>154</v>
      </c>
      <c r="J8" s="15" t="s">
        <v>155</v>
      </c>
      <c r="K8" s="16">
        <v>71</v>
      </c>
      <c r="L8" s="15"/>
      <c r="M8" s="16" t="s">
        <v>130</v>
      </c>
      <c r="N8" s="16" t="s">
        <v>156</v>
      </c>
      <c r="O8" s="15">
        <v>9204</v>
      </c>
    </row>
    <row r="9" spans="1:17" x14ac:dyDescent="0.45">
      <c r="F9" s="17" t="s">
        <v>157</v>
      </c>
      <c r="G9" s="18" t="s">
        <v>158</v>
      </c>
      <c r="J9" s="15" t="s">
        <v>159</v>
      </c>
      <c r="K9" s="19">
        <v>81</v>
      </c>
      <c r="L9" s="15"/>
      <c r="M9" s="16" t="s">
        <v>135</v>
      </c>
      <c r="N9" s="16" t="s">
        <v>160</v>
      </c>
      <c r="O9" s="15">
        <v>9306</v>
      </c>
    </row>
    <row r="10" spans="1:17" x14ac:dyDescent="0.45">
      <c r="F10" s="13" t="s">
        <v>161</v>
      </c>
      <c r="G10" s="14" t="s">
        <v>162</v>
      </c>
      <c r="J10" s="15" t="s">
        <v>163</v>
      </c>
      <c r="K10" s="19">
        <v>83</v>
      </c>
      <c r="L10" s="15"/>
      <c r="M10" s="16" t="s">
        <v>135</v>
      </c>
      <c r="N10" s="16" t="s">
        <v>164</v>
      </c>
      <c r="O10" s="15">
        <v>9307</v>
      </c>
    </row>
    <row r="11" spans="1:17" x14ac:dyDescent="0.45">
      <c r="F11" s="17" t="s">
        <v>165</v>
      </c>
      <c r="G11" s="18" t="s">
        <v>162</v>
      </c>
      <c r="J11" s="15" t="s">
        <v>166</v>
      </c>
      <c r="K11" s="19">
        <v>91</v>
      </c>
      <c r="L11" s="15"/>
      <c r="M11" s="16" t="s">
        <v>135</v>
      </c>
      <c r="N11" s="16" t="s">
        <v>167</v>
      </c>
      <c r="O11" s="15">
        <v>9304</v>
      </c>
    </row>
    <row r="12" spans="1:17" x14ac:dyDescent="0.45">
      <c r="F12" s="13" t="s">
        <v>168</v>
      </c>
      <c r="G12" s="14" t="s">
        <v>169</v>
      </c>
      <c r="J12" s="15" t="s">
        <v>131</v>
      </c>
      <c r="K12" s="19">
        <v>99</v>
      </c>
      <c r="L12" s="15"/>
      <c r="M12" s="16" t="s">
        <v>135</v>
      </c>
      <c r="N12" s="16" t="s">
        <v>170</v>
      </c>
      <c r="O12" s="15">
        <v>9303</v>
      </c>
    </row>
    <row r="13" spans="1:17" x14ac:dyDescent="0.45">
      <c r="F13" s="17" t="s">
        <v>171</v>
      </c>
      <c r="G13" s="18" t="s">
        <v>172</v>
      </c>
      <c r="J13" s="19"/>
      <c r="K13" s="15"/>
      <c r="L13" s="15"/>
      <c r="M13" s="16" t="s">
        <v>135</v>
      </c>
      <c r="N13" s="16" t="s">
        <v>173</v>
      </c>
      <c r="O13" s="15">
        <v>9305</v>
      </c>
    </row>
    <row r="14" spans="1:17" x14ac:dyDescent="0.45">
      <c r="F14" s="13" t="s">
        <v>174</v>
      </c>
      <c r="G14" s="14" t="s">
        <v>175</v>
      </c>
      <c r="J14" s="15"/>
      <c r="K14" s="15"/>
      <c r="L14" s="15"/>
      <c r="M14" s="16" t="s">
        <v>135</v>
      </c>
      <c r="N14" s="16" t="s">
        <v>176</v>
      </c>
      <c r="O14" s="15">
        <v>9302</v>
      </c>
    </row>
    <row r="15" spans="1:17" x14ac:dyDescent="0.45">
      <c r="F15" s="17" t="s">
        <v>177</v>
      </c>
      <c r="G15" s="18" t="s">
        <v>178</v>
      </c>
      <c r="J15" s="15"/>
      <c r="K15" s="15"/>
      <c r="L15" s="15"/>
      <c r="M15" s="16" t="s">
        <v>135</v>
      </c>
      <c r="N15" s="16" t="s">
        <v>179</v>
      </c>
      <c r="O15" s="15">
        <v>9308</v>
      </c>
    </row>
    <row r="16" spans="1:17" x14ac:dyDescent="0.45">
      <c r="F16" s="13" t="s">
        <v>180</v>
      </c>
      <c r="G16" s="14" t="s">
        <v>181</v>
      </c>
      <c r="J16" s="15"/>
      <c r="K16" s="15"/>
      <c r="L16" s="15"/>
      <c r="M16" s="16" t="s">
        <v>135</v>
      </c>
      <c r="N16" s="16" t="s">
        <v>182</v>
      </c>
      <c r="O16" s="15">
        <v>9301</v>
      </c>
    </row>
    <row r="17" spans="6:15" x14ac:dyDescent="0.45">
      <c r="F17" s="17" t="s">
        <v>183</v>
      </c>
      <c r="G17" s="18" t="s">
        <v>184</v>
      </c>
      <c r="M17" s="16" t="s">
        <v>139</v>
      </c>
      <c r="N17" s="16" t="s">
        <v>185</v>
      </c>
      <c r="O17" s="15">
        <v>7207</v>
      </c>
    </row>
    <row r="18" spans="6:15" x14ac:dyDescent="0.45">
      <c r="G18" s="14" t="s">
        <v>186</v>
      </c>
      <c r="M18" s="16" t="s">
        <v>139</v>
      </c>
      <c r="N18" s="16" t="s">
        <v>187</v>
      </c>
      <c r="O18" s="15">
        <v>7203</v>
      </c>
    </row>
    <row r="19" spans="6:15" x14ac:dyDescent="0.45">
      <c r="G19" s="18" t="s">
        <v>188</v>
      </c>
      <c r="M19" s="16" t="s">
        <v>139</v>
      </c>
      <c r="N19" s="16" t="s">
        <v>189</v>
      </c>
      <c r="O19" s="15">
        <v>7211</v>
      </c>
    </row>
    <row r="20" spans="6:15" x14ac:dyDescent="0.45">
      <c r="G20" s="14" t="s">
        <v>190</v>
      </c>
      <c r="M20" s="16" t="s">
        <v>139</v>
      </c>
      <c r="N20" s="16" t="s">
        <v>191</v>
      </c>
      <c r="O20" s="15">
        <v>7202</v>
      </c>
    </row>
    <row r="21" spans="6:15" x14ac:dyDescent="0.45">
      <c r="G21" s="18" t="s">
        <v>192</v>
      </c>
      <c r="M21" s="16" t="s">
        <v>139</v>
      </c>
      <c r="N21" s="16" t="s">
        <v>193</v>
      </c>
      <c r="O21" s="15">
        <v>7204</v>
      </c>
    </row>
    <row r="22" spans="6:15" x14ac:dyDescent="0.45">
      <c r="G22" s="14" t="s">
        <v>194</v>
      </c>
      <c r="M22" s="16" t="s">
        <v>139</v>
      </c>
      <c r="N22" s="16" t="s">
        <v>195</v>
      </c>
      <c r="O22" s="15">
        <v>7201</v>
      </c>
    </row>
    <row r="23" spans="6:15" x14ac:dyDescent="0.45">
      <c r="G23" s="18" t="s">
        <v>196</v>
      </c>
      <c r="M23" s="16" t="s">
        <v>139</v>
      </c>
      <c r="N23" s="16" t="s">
        <v>197</v>
      </c>
      <c r="O23" s="15">
        <v>7206</v>
      </c>
    </row>
    <row r="24" spans="6:15" x14ac:dyDescent="0.45">
      <c r="G24" s="14" t="s">
        <v>198</v>
      </c>
      <c r="M24" s="16" t="s">
        <v>139</v>
      </c>
      <c r="N24" s="16" t="s">
        <v>199</v>
      </c>
      <c r="O24" s="15">
        <v>7209</v>
      </c>
    </row>
    <row r="25" spans="6:15" x14ac:dyDescent="0.45">
      <c r="G25" s="18" t="s">
        <v>200</v>
      </c>
      <c r="M25" s="16" t="s">
        <v>139</v>
      </c>
      <c r="N25" s="16" t="s">
        <v>201</v>
      </c>
      <c r="O25" s="15">
        <v>7208</v>
      </c>
    </row>
    <row r="26" spans="6:15" x14ac:dyDescent="0.45">
      <c r="G26" s="14" t="s">
        <v>202</v>
      </c>
      <c r="M26" s="16" t="s">
        <v>139</v>
      </c>
      <c r="N26" s="16" t="s">
        <v>203</v>
      </c>
      <c r="O26" s="15">
        <v>7210</v>
      </c>
    </row>
    <row r="27" spans="6:15" x14ac:dyDescent="0.45">
      <c r="G27" s="18" t="s">
        <v>204</v>
      </c>
      <c r="M27" s="16" t="s">
        <v>139</v>
      </c>
      <c r="N27" s="16" t="s">
        <v>205</v>
      </c>
      <c r="O27" s="15">
        <v>7205</v>
      </c>
    </row>
    <row r="28" spans="6:15" x14ac:dyDescent="0.45">
      <c r="G28" s="14" t="s">
        <v>206</v>
      </c>
      <c r="M28" s="16" t="s">
        <v>143</v>
      </c>
      <c r="N28" s="16" t="s">
        <v>207</v>
      </c>
      <c r="O28" s="15">
        <v>8408</v>
      </c>
    </row>
    <row r="29" spans="6:15" x14ac:dyDescent="0.45">
      <c r="G29" s="18" t="s">
        <v>208</v>
      </c>
      <c r="M29" s="16" t="s">
        <v>143</v>
      </c>
      <c r="N29" s="16" t="s">
        <v>209</v>
      </c>
      <c r="O29" s="15">
        <v>8401</v>
      </c>
    </row>
    <row r="30" spans="6:15" x14ac:dyDescent="0.45">
      <c r="G30" s="14" t="s">
        <v>210</v>
      </c>
      <c r="M30" s="16" t="s">
        <v>143</v>
      </c>
      <c r="N30" s="16" t="s">
        <v>211</v>
      </c>
      <c r="O30" s="15">
        <v>8405</v>
      </c>
    </row>
    <row r="31" spans="6:15" x14ac:dyDescent="0.45">
      <c r="G31" s="18" t="s">
        <v>145</v>
      </c>
      <c r="M31" s="16" t="s">
        <v>143</v>
      </c>
      <c r="N31" s="16" t="s">
        <v>212</v>
      </c>
      <c r="O31" s="15">
        <v>8405</v>
      </c>
    </row>
    <row r="32" spans="6:15" x14ac:dyDescent="0.45">
      <c r="G32" s="14" t="s">
        <v>213</v>
      </c>
      <c r="M32" s="16" t="s">
        <v>143</v>
      </c>
      <c r="N32" s="16" t="s">
        <v>214</v>
      </c>
      <c r="O32" s="15">
        <v>8402</v>
      </c>
    </row>
    <row r="33" spans="7:15" x14ac:dyDescent="0.45">
      <c r="G33" s="18" t="s">
        <v>215</v>
      </c>
      <c r="M33" s="16" t="s">
        <v>143</v>
      </c>
      <c r="N33" s="16" t="s">
        <v>216</v>
      </c>
      <c r="O33" s="15">
        <v>8404</v>
      </c>
    </row>
    <row r="34" spans="7:15" x14ac:dyDescent="0.45">
      <c r="G34" s="14" t="s">
        <v>217</v>
      </c>
      <c r="M34" s="16" t="s">
        <v>143</v>
      </c>
      <c r="N34" s="16" t="s">
        <v>218</v>
      </c>
      <c r="O34" s="15">
        <v>8407</v>
      </c>
    </row>
    <row r="35" spans="7:15" x14ac:dyDescent="0.45">
      <c r="G35" s="18" t="s">
        <v>219</v>
      </c>
      <c r="M35" s="16" t="s">
        <v>143</v>
      </c>
      <c r="N35" s="16" t="s">
        <v>220</v>
      </c>
      <c r="O35" s="15">
        <v>8406</v>
      </c>
    </row>
    <row r="36" spans="7:15" x14ac:dyDescent="0.45">
      <c r="G36" s="14" t="s">
        <v>221</v>
      </c>
      <c r="M36" s="16" t="s">
        <v>147</v>
      </c>
      <c r="N36" s="16" t="s">
        <v>222</v>
      </c>
      <c r="O36" s="15">
        <v>8205</v>
      </c>
    </row>
    <row r="37" spans="7:15" x14ac:dyDescent="0.45">
      <c r="G37" s="18" t="s">
        <v>223</v>
      </c>
      <c r="M37" s="16" t="s">
        <v>147</v>
      </c>
      <c r="N37" s="16" t="s">
        <v>224</v>
      </c>
      <c r="O37" s="15">
        <v>8202</v>
      </c>
    </row>
    <row r="38" spans="7:15" x14ac:dyDescent="0.45">
      <c r="G38" s="14" t="s">
        <v>225</v>
      </c>
      <c r="M38" s="16" t="s">
        <v>147</v>
      </c>
      <c r="N38" s="16" t="s">
        <v>226</v>
      </c>
      <c r="O38" s="15">
        <v>8201</v>
      </c>
    </row>
    <row r="39" spans="7:15" x14ac:dyDescent="0.45">
      <c r="G39" s="18" t="s">
        <v>227</v>
      </c>
      <c r="M39" s="16" t="s">
        <v>147</v>
      </c>
      <c r="N39" s="16" t="s">
        <v>228</v>
      </c>
      <c r="O39" s="15">
        <v>8203</v>
      </c>
    </row>
    <row r="40" spans="7:15" x14ac:dyDescent="0.45">
      <c r="G40" s="14" t="s">
        <v>229</v>
      </c>
      <c r="M40" s="16" t="s">
        <v>147</v>
      </c>
      <c r="N40" s="16" t="s">
        <v>230</v>
      </c>
      <c r="O40" s="15">
        <v>8204</v>
      </c>
    </row>
    <row r="41" spans="7:15" x14ac:dyDescent="0.45">
      <c r="G41" s="18" t="s">
        <v>231</v>
      </c>
      <c r="M41" s="16" t="s">
        <v>151</v>
      </c>
      <c r="N41" s="16" t="s">
        <v>232</v>
      </c>
      <c r="O41" s="15">
        <v>7302</v>
      </c>
    </row>
    <row r="42" spans="7:15" x14ac:dyDescent="0.45">
      <c r="G42" s="14" t="s">
        <v>233</v>
      </c>
      <c r="M42" s="16" t="s">
        <v>151</v>
      </c>
      <c r="N42" s="16" t="s">
        <v>234</v>
      </c>
      <c r="O42" s="15">
        <v>7305</v>
      </c>
    </row>
    <row r="43" spans="7:15" x14ac:dyDescent="0.45">
      <c r="G43" s="18" t="s">
        <v>235</v>
      </c>
      <c r="M43" s="16" t="s">
        <v>151</v>
      </c>
      <c r="N43" s="16" t="s">
        <v>236</v>
      </c>
      <c r="O43" s="15">
        <v>7306</v>
      </c>
    </row>
    <row r="44" spans="7:15" x14ac:dyDescent="0.45">
      <c r="G44" s="14" t="s">
        <v>237</v>
      </c>
      <c r="M44" s="16" t="s">
        <v>151</v>
      </c>
      <c r="N44" s="16" t="s">
        <v>238</v>
      </c>
      <c r="O44" s="15">
        <v>7307</v>
      </c>
    </row>
    <row r="45" spans="7:15" x14ac:dyDescent="0.45">
      <c r="G45" s="18" t="s">
        <v>157</v>
      </c>
      <c r="M45" s="16" t="s">
        <v>151</v>
      </c>
      <c r="N45" s="16" t="s">
        <v>239</v>
      </c>
      <c r="O45" s="15">
        <v>7308</v>
      </c>
    </row>
    <row r="46" spans="7:15" x14ac:dyDescent="0.45">
      <c r="G46" s="14" t="s">
        <v>240</v>
      </c>
      <c r="M46" s="16" t="s">
        <v>151</v>
      </c>
      <c r="N46" s="16" t="s">
        <v>241</v>
      </c>
      <c r="O46" s="15">
        <v>7303</v>
      </c>
    </row>
    <row r="47" spans="7:15" x14ac:dyDescent="0.45">
      <c r="G47" s="18" t="s">
        <v>242</v>
      </c>
      <c r="M47" s="16" t="s">
        <v>151</v>
      </c>
      <c r="N47" s="16" t="s">
        <v>243</v>
      </c>
      <c r="O47" s="15">
        <v>7309</v>
      </c>
    </row>
    <row r="48" spans="7:15" x14ac:dyDescent="0.45">
      <c r="G48" s="14" t="s">
        <v>153</v>
      </c>
      <c r="M48" s="16" t="s">
        <v>151</v>
      </c>
      <c r="N48" s="16" t="s">
        <v>244</v>
      </c>
      <c r="O48" s="15">
        <v>7301</v>
      </c>
    </row>
    <row r="49" spans="7:15" x14ac:dyDescent="0.45">
      <c r="G49" s="18" t="s">
        <v>245</v>
      </c>
      <c r="M49" s="16" t="s">
        <v>151</v>
      </c>
      <c r="N49" s="16" t="s">
        <v>246</v>
      </c>
      <c r="O49" s="15">
        <v>7304</v>
      </c>
    </row>
    <row r="50" spans="7:15" x14ac:dyDescent="0.45">
      <c r="G50" s="14" t="s">
        <v>247</v>
      </c>
      <c r="M50" s="16" t="s">
        <v>155</v>
      </c>
      <c r="N50" s="16" t="s">
        <v>248</v>
      </c>
      <c r="O50" s="15">
        <v>7110</v>
      </c>
    </row>
    <row r="51" spans="7:15" x14ac:dyDescent="0.45">
      <c r="G51" s="18" t="s">
        <v>161</v>
      </c>
      <c r="M51" s="16" t="s">
        <v>155</v>
      </c>
      <c r="N51" s="16" t="s">
        <v>249</v>
      </c>
      <c r="O51" s="15">
        <v>7103</v>
      </c>
    </row>
    <row r="52" spans="7:15" x14ac:dyDescent="0.45">
      <c r="G52" s="14" t="s">
        <v>250</v>
      </c>
      <c r="M52" s="16" t="s">
        <v>155</v>
      </c>
      <c r="N52" s="16" t="s">
        <v>251</v>
      </c>
      <c r="O52" s="15">
        <v>7108</v>
      </c>
    </row>
    <row r="53" spans="7:15" x14ac:dyDescent="0.45">
      <c r="G53" s="18" t="s">
        <v>252</v>
      </c>
      <c r="M53" s="16" t="s">
        <v>155</v>
      </c>
      <c r="N53" s="16" t="s">
        <v>253</v>
      </c>
      <c r="O53" s="15">
        <v>7107</v>
      </c>
    </row>
    <row r="54" spans="7:15" x14ac:dyDescent="0.45">
      <c r="G54" s="14" t="s">
        <v>254</v>
      </c>
      <c r="M54" s="16" t="s">
        <v>155</v>
      </c>
      <c r="N54" s="16" t="s">
        <v>255</v>
      </c>
      <c r="O54" s="15">
        <v>7105</v>
      </c>
    </row>
    <row r="55" spans="7:15" x14ac:dyDescent="0.45">
      <c r="G55" s="18" t="s">
        <v>256</v>
      </c>
      <c r="M55" s="16" t="s">
        <v>155</v>
      </c>
      <c r="N55" s="16" t="s">
        <v>257</v>
      </c>
      <c r="O55" s="15">
        <v>7106</v>
      </c>
    </row>
    <row r="56" spans="7:15" x14ac:dyDescent="0.45">
      <c r="G56" s="14" t="s">
        <v>258</v>
      </c>
      <c r="M56" s="16" t="s">
        <v>155</v>
      </c>
      <c r="N56" s="16" t="s">
        <v>259</v>
      </c>
      <c r="O56" s="15">
        <v>7111</v>
      </c>
    </row>
    <row r="57" spans="7:15" x14ac:dyDescent="0.45">
      <c r="G57" s="18" t="s">
        <v>260</v>
      </c>
      <c r="M57" s="16" t="s">
        <v>155</v>
      </c>
      <c r="N57" s="16" t="s">
        <v>261</v>
      </c>
      <c r="O57" s="15">
        <v>7102</v>
      </c>
    </row>
    <row r="58" spans="7:15" x14ac:dyDescent="0.45">
      <c r="G58" s="14" t="s">
        <v>262</v>
      </c>
      <c r="M58" s="16" t="s">
        <v>155</v>
      </c>
      <c r="N58" s="16" t="s">
        <v>263</v>
      </c>
      <c r="O58" s="15">
        <v>7104</v>
      </c>
    </row>
    <row r="59" spans="7:15" x14ac:dyDescent="0.45">
      <c r="G59" s="18" t="s">
        <v>264</v>
      </c>
      <c r="M59" s="16" t="s">
        <v>155</v>
      </c>
      <c r="N59" s="16" t="s">
        <v>265</v>
      </c>
      <c r="O59" s="15">
        <v>7112</v>
      </c>
    </row>
    <row r="60" spans="7:15" x14ac:dyDescent="0.45">
      <c r="G60" s="14" t="s">
        <v>266</v>
      </c>
      <c r="M60" s="16" t="s">
        <v>155</v>
      </c>
      <c r="N60" s="16" t="s">
        <v>267</v>
      </c>
      <c r="O60" s="15">
        <v>7101</v>
      </c>
    </row>
    <row r="61" spans="7:15" x14ac:dyDescent="0.45">
      <c r="G61" s="18" t="s">
        <v>268</v>
      </c>
      <c r="M61" s="16" t="s">
        <v>155</v>
      </c>
      <c r="N61" s="16" t="s">
        <v>269</v>
      </c>
      <c r="O61" s="15">
        <v>7109</v>
      </c>
    </row>
    <row r="62" spans="7:15" x14ac:dyDescent="0.45">
      <c r="G62" s="14" t="s">
        <v>270</v>
      </c>
      <c r="M62" s="16" t="s">
        <v>159</v>
      </c>
      <c r="N62" s="16" t="s">
        <v>271</v>
      </c>
      <c r="O62" s="15">
        <v>8104</v>
      </c>
    </row>
    <row r="63" spans="7:15" x14ac:dyDescent="0.45">
      <c r="G63" s="18" t="s">
        <v>272</v>
      </c>
      <c r="M63" s="16" t="s">
        <v>159</v>
      </c>
      <c r="N63" s="16" t="s">
        <v>273</v>
      </c>
      <c r="O63" s="15">
        <v>8103</v>
      </c>
    </row>
    <row r="64" spans="7:15" x14ac:dyDescent="0.45">
      <c r="G64" s="14" t="s">
        <v>274</v>
      </c>
      <c r="M64" s="16" t="s">
        <v>159</v>
      </c>
      <c r="N64" s="16" t="s">
        <v>275</v>
      </c>
      <c r="O64" s="15">
        <v>8106</v>
      </c>
    </row>
    <row r="65" spans="7:15" x14ac:dyDescent="0.45">
      <c r="G65" s="18" t="s">
        <v>276</v>
      </c>
      <c r="M65" s="16" t="s">
        <v>159</v>
      </c>
      <c r="N65" s="16" t="s">
        <v>277</v>
      </c>
      <c r="O65" s="15">
        <v>8105</v>
      </c>
    </row>
    <row r="66" spans="7:15" x14ac:dyDescent="0.45">
      <c r="G66" s="14" t="s">
        <v>278</v>
      </c>
      <c r="M66" s="16" t="s">
        <v>159</v>
      </c>
      <c r="N66" s="16" t="s">
        <v>279</v>
      </c>
      <c r="O66" s="15">
        <v>8107</v>
      </c>
    </row>
    <row r="67" spans="7:15" x14ac:dyDescent="0.45">
      <c r="G67" s="18" t="s">
        <v>280</v>
      </c>
      <c r="M67" s="16" t="s">
        <v>159</v>
      </c>
      <c r="N67" s="16" t="s">
        <v>281</v>
      </c>
      <c r="O67" s="15">
        <v>8102</v>
      </c>
    </row>
    <row r="68" spans="7:15" x14ac:dyDescent="0.45">
      <c r="G68" s="14" t="s">
        <v>282</v>
      </c>
      <c r="M68" s="16" t="s">
        <v>163</v>
      </c>
      <c r="N68" s="16" t="s">
        <v>283</v>
      </c>
      <c r="O68" s="15">
        <v>8302</v>
      </c>
    </row>
    <row r="69" spans="7:15" x14ac:dyDescent="0.45">
      <c r="G69" s="18" t="s">
        <v>284</v>
      </c>
      <c r="M69" s="16" t="s">
        <v>163</v>
      </c>
      <c r="N69" s="16" t="s">
        <v>285</v>
      </c>
      <c r="O69" s="15">
        <v>8301</v>
      </c>
    </row>
    <row r="70" spans="7:15" x14ac:dyDescent="0.45">
      <c r="G70" s="14" t="s">
        <v>286</v>
      </c>
      <c r="M70" s="16" t="s">
        <v>163</v>
      </c>
      <c r="N70" s="16" t="s">
        <v>287</v>
      </c>
      <c r="O70" s="15">
        <v>8303</v>
      </c>
    </row>
    <row r="71" spans="7:15" x14ac:dyDescent="0.45">
      <c r="G71" s="18" t="s">
        <v>288</v>
      </c>
      <c r="M71" s="16" t="s">
        <v>166</v>
      </c>
      <c r="N71" s="16" t="s">
        <v>289</v>
      </c>
      <c r="O71" s="15">
        <v>9104</v>
      </c>
    </row>
    <row r="72" spans="7:15" x14ac:dyDescent="0.45">
      <c r="G72" s="14" t="s">
        <v>290</v>
      </c>
      <c r="M72" s="16" t="s">
        <v>166</v>
      </c>
      <c r="N72" s="16" t="s">
        <v>291</v>
      </c>
      <c r="O72" s="15">
        <v>9106</v>
      </c>
    </row>
    <row r="73" spans="7:15" x14ac:dyDescent="0.45">
      <c r="G73" s="18" t="s">
        <v>292</v>
      </c>
      <c r="M73" s="16" t="s">
        <v>166</v>
      </c>
      <c r="N73" s="16" t="s">
        <v>293</v>
      </c>
      <c r="O73" s="15">
        <v>9107</v>
      </c>
    </row>
    <row r="74" spans="7:15" x14ac:dyDescent="0.45">
      <c r="G74" s="14" t="s">
        <v>294</v>
      </c>
      <c r="M74" s="16" t="s">
        <v>166</v>
      </c>
      <c r="N74" s="16" t="s">
        <v>295</v>
      </c>
      <c r="O74" s="15">
        <v>9110</v>
      </c>
    </row>
    <row r="75" spans="7:15" x14ac:dyDescent="0.45">
      <c r="G75" s="18" t="s">
        <v>168</v>
      </c>
      <c r="M75" s="16" t="s">
        <v>166</v>
      </c>
      <c r="N75" s="16" t="s">
        <v>296</v>
      </c>
      <c r="O75" s="15">
        <v>9109</v>
      </c>
    </row>
    <row r="76" spans="7:15" x14ac:dyDescent="0.45">
      <c r="G76" s="14" t="s">
        <v>297</v>
      </c>
      <c r="M76" s="16" t="s">
        <v>166</v>
      </c>
      <c r="N76" s="16" t="s">
        <v>298</v>
      </c>
      <c r="O76" s="15">
        <v>9108</v>
      </c>
    </row>
    <row r="77" spans="7:15" x14ac:dyDescent="0.45">
      <c r="G77" s="18" t="s">
        <v>299</v>
      </c>
      <c r="M77" s="16" t="s">
        <v>166</v>
      </c>
      <c r="N77" s="16" t="s">
        <v>300</v>
      </c>
      <c r="O77" s="15">
        <v>9102</v>
      </c>
    </row>
    <row r="78" spans="7:15" x14ac:dyDescent="0.45">
      <c r="G78" s="14" t="s">
        <v>171</v>
      </c>
      <c r="M78" s="16" t="s">
        <v>166</v>
      </c>
      <c r="N78" s="16" t="s">
        <v>301</v>
      </c>
      <c r="O78" s="15">
        <v>9103</v>
      </c>
    </row>
    <row r="79" spans="7:15" x14ac:dyDescent="0.45">
      <c r="G79" s="18" t="s">
        <v>302</v>
      </c>
      <c r="M79" s="16" t="s">
        <v>166</v>
      </c>
      <c r="N79" s="16" t="s">
        <v>303</v>
      </c>
      <c r="O79" s="15">
        <v>9101</v>
      </c>
    </row>
    <row r="80" spans="7:15" x14ac:dyDescent="0.45">
      <c r="G80" s="14" t="s">
        <v>304</v>
      </c>
      <c r="M80" s="16" t="s">
        <v>166</v>
      </c>
      <c r="N80" s="16" t="s">
        <v>305</v>
      </c>
      <c r="O80" s="15">
        <v>9105</v>
      </c>
    </row>
    <row r="81" spans="7:7" x14ac:dyDescent="0.45">
      <c r="G81" s="18" t="s">
        <v>174</v>
      </c>
    </row>
    <row r="82" spans="7:7" x14ac:dyDescent="0.45">
      <c r="G82" s="14" t="s">
        <v>306</v>
      </c>
    </row>
    <row r="83" spans="7:7" x14ac:dyDescent="0.45">
      <c r="G83" s="18" t="s">
        <v>307</v>
      </c>
    </row>
    <row r="84" spans="7:7" x14ac:dyDescent="0.45">
      <c r="G84" s="14" t="s">
        <v>308</v>
      </c>
    </row>
    <row r="85" spans="7:7" x14ac:dyDescent="0.45">
      <c r="G85" s="18" t="s">
        <v>309</v>
      </c>
    </row>
    <row r="86" spans="7:7" x14ac:dyDescent="0.45">
      <c r="G86" s="14" t="s">
        <v>310</v>
      </c>
    </row>
    <row r="87" spans="7:7" x14ac:dyDescent="0.45">
      <c r="G87" s="18" t="s">
        <v>311</v>
      </c>
    </row>
    <row r="88" spans="7:7" x14ac:dyDescent="0.45">
      <c r="G88" s="14" t="s">
        <v>312</v>
      </c>
    </row>
    <row r="89" spans="7:7" x14ac:dyDescent="0.45">
      <c r="G89" s="18" t="s">
        <v>177</v>
      </c>
    </row>
    <row r="90" spans="7:7" x14ac:dyDescent="0.45">
      <c r="G90" s="14" t="s">
        <v>313</v>
      </c>
    </row>
    <row r="91" spans="7:7" x14ac:dyDescent="0.45">
      <c r="G91" s="18" t="s">
        <v>314</v>
      </c>
    </row>
    <row r="92" spans="7:7" x14ac:dyDescent="0.45">
      <c r="G92" s="14" t="s">
        <v>315</v>
      </c>
    </row>
    <row r="93" spans="7:7" x14ac:dyDescent="0.45">
      <c r="G93" s="18" t="s">
        <v>316</v>
      </c>
    </row>
    <row r="94" spans="7:7" x14ac:dyDescent="0.45">
      <c r="G94" s="14" t="s">
        <v>317</v>
      </c>
    </row>
    <row r="95" spans="7:7" x14ac:dyDescent="0.45">
      <c r="G95" s="18" t="s">
        <v>318</v>
      </c>
    </row>
    <row r="96" spans="7:7" x14ac:dyDescent="0.45">
      <c r="G96" s="14" t="s">
        <v>319</v>
      </c>
    </row>
    <row r="97" spans="7:7" x14ac:dyDescent="0.45">
      <c r="G97" s="18" t="s">
        <v>320</v>
      </c>
    </row>
    <row r="98" spans="7:7" x14ac:dyDescent="0.45">
      <c r="G98" s="14" t="s">
        <v>180</v>
      </c>
    </row>
    <row r="99" spans="7:7" x14ac:dyDescent="0.45">
      <c r="G99" s="18" t="s">
        <v>321</v>
      </c>
    </row>
    <row r="100" spans="7:7" x14ac:dyDescent="0.45">
      <c r="G100" s="14" t="s">
        <v>322</v>
      </c>
    </row>
    <row r="101" spans="7:7" x14ac:dyDescent="0.45">
      <c r="G101" s="18" t="s">
        <v>323</v>
      </c>
    </row>
    <row r="102" spans="7:7" x14ac:dyDescent="0.45">
      <c r="G102" s="14" t="s">
        <v>324</v>
      </c>
    </row>
    <row r="103" spans="7:7" x14ac:dyDescent="0.45">
      <c r="G103" s="18" t="s">
        <v>325</v>
      </c>
    </row>
    <row r="104" spans="7:7" x14ac:dyDescent="0.45">
      <c r="G104" s="14" t="s">
        <v>326</v>
      </c>
    </row>
    <row r="105" spans="7:7" x14ac:dyDescent="0.45">
      <c r="G105" s="18" t="s">
        <v>327</v>
      </c>
    </row>
    <row r="106" spans="7:7" x14ac:dyDescent="0.45">
      <c r="G106" s="14" t="s">
        <v>328</v>
      </c>
    </row>
    <row r="107" spans="7:7" x14ac:dyDescent="0.45">
      <c r="G107" s="18" t="s">
        <v>329</v>
      </c>
    </row>
    <row r="108" spans="7:7" x14ac:dyDescent="0.45">
      <c r="G108" s="14" t="s">
        <v>330</v>
      </c>
    </row>
    <row r="109" spans="7:7" x14ac:dyDescent="0.45">
      <c r="G109" s="18" t="s">
        <v>331</v>
      </c>
    </row>
    <row r="110" spans="7:7" x14ac:dyDescent="0.45">
      <c r="G110" s="14" t="s">
        <v>149</v>
      </c>
    </row>
    <row r="111" spans="7:7" x14ac:dyDescent="0.45">
      <c r="G111" s="18" t="s">
        <v>332</v>
      </c>
    </row>
    <row r="112" spans="7:7" x14ac:dyDescent="0.45">
      <c r="G112" s="14" t="s">
        <v>333</v>
      </c>
    </row>
    <row r="113" spans="7:7" x14ac:dyDescent="0.45">
      <c r="G113" s="18" t="s">
        <v>334</v>
      </c>
    </row>
    <row r="114" spans="7:7" x14ac:dyDescent="0.45">
      <c r="G114" s="14" t="s">
        <v>335</v>
      </c>
    </row>
    <row r="115" spans="7:7" x14ac:dyDescent="0.45">
      <c r="G115" s="18" t="s">
        <v>336</v>
      </c>
    </row>
    <row r="116" spans="7:7" x14ac:dyDescent="0.45">
      <c r="G116" s="14" t="s">
        <v>337</v>
      </c>
    </row>
    <row r="117" spans="7:7" x14ac:dyDescent="0.45">
      <c r="G117" s="18" t="s">
        <v>338</v>
      </c>
    </row>
    <row r="118" spans="7:7" x14ac:dyDescent="0.45">
      <c r="G118" s="14" t="s">
        <v>339</v>
      </c>
    </row>
    <row r="119" spans="7:7" x14ac:dyDescent="0.45">
      <c r="G119" s="18" t="s">
        <v>340</v>
      </c>
    </row>
    <row r="120" spans="7:7" x14ac:dyDescent="0.45">
      <c r="G120" s="14" t="s">
        <v>341</v>
      </c>
    </row>
    <row r="121" spans="7:7" x14ac:dyDescent="0.45">
      <c r="G121" s="18" t="s">
        <v>342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2C9F64FB96574FB3A8373E1D69BE7B" ma:contentTypeVersion="16" ma:contentTypeDescription="Create a new document." ma:contentTypeScope="" ma:versionID="1d3b00a600c78b6256d37ed8a58cea0a">
  <xsd:schema xmlns:xsd="http://www.w3.org/2001/XMLSchema" xmlns:xs="http://www.w3.org/2001/XMLSchema" xmlns:p="http://schemas.microsoft.com/office/2006/metadata/properties" xmlns:ns2="e2fa0036-b937-458b-ade5-70e4e7c5b631" xmlns:ns3="36879116-4790-4de9-a7c2-4d747c1a3492" targetNamespace="http://schemas.microsoft.com/office/2006/metadata/properties" ma:root="true" ma:fieldsID="49a7f5be043d0ebfa5a16b14722a14d2" ns2:_="" ns3:_="">
    <xsd:import namespace="e2fa0036-b937-458b-ade5-70e4e7c5b631"/>
    <xsd:import namespace="36879116-4790-4de9-a7c2-4d747c1a3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a0036-b937-458b-ade5-70e4e7c5b6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79116-4790-4de9-a7c2-4d747c1a349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4020505-08b3-4b68-8869-8a02d1f84cef}" ma:internalName="TaxCatchAll" ma:showField="CatchAllData" ma:web="36879116-4790-4de9-a7c2-4d747c1a34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118C843-AEC6-4B30-B703-6B712AD2D5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a0036-b937-458b-ade5-70e4e7c5b631"/>
    <ds:schemaRef ds:uri="36879116-4790-4de9-a7c2-4d747c1a3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4DA2E6-05B4-46E6-9292-BF4A90F72B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BCD5FB-D7C6-47CE-8B55-2D8BE42CD860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request form</vt:lpstr>
      <vt:lpstr>List of Items</vt:lpstr>
      <vt:lpstr>NFI dimensions</vt:lpstr>
      <vt:lpstr>Dropdown_list</vt:lpstr>
      <vt:lpstr>assessment</vt:lpstr>
      <vt:lpstr>Means_transport</vt:lpstr>
      <vt:lpstr>NFI</vt:lpstr>
      <vt:lpstr>NFI_ITEMS</vt:lpstr>
      <vt:lpstr>NFI_ITEMS1</vt:lpstr>
      <vt:lpstr>Partners</vt:lpstr>
      <vt:lpstr>Partners_</vt:lpstr>
      <vt:lpstr>'request form'!Print_Area</vt:lpstr>
      <vt:lpstr>Req_purpose</vt:lpstr>
      <vt:lpstr>Shelter</vt:lpstr>
      <vt:lpstr>SHELTER_ITEMS</vt:lpstr>
      <vt:lpstr>Shelter_items1</vt:lpstr>
      <vt:lpstr>State_col</vt:lpstr>
      <vt:lpstr>State_start_col</vt:lpstr>
      <vt:lpstr>States</vt:lpstr>
      <vt:lpstr>Yes_no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MANOMBAWA@iom.int</dc:creator>
  <cp:keywords/>
  <dc:description/>
  <cp:lastModifiedBy>LEMIN Duku Nelson Michael</cp:lastModifiedBy>
  <cp:revision/>
  <dcterms:created xsi:type="dcterms:W3CDTF">2012-10-24T05:48:20Z</dcterms:created>
  <dcterms:modified xsi:type="dcterms:W3CDTF">2026-09-07T13:00:58Z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BOTERERE Phillip</vt:lpwstr>
  </property>
  <property fmtid="{D5CDD505-2E9C-101B-9397-08002B2CF9AE}" pid="3" name="Order">
    <vt:lpwstr>189800.000000000</vt:lpwstr>
  </property>
  <property fmtid="{D5CDD505-2E9C-101B-9397-08002B2CF9AE}" pid="4" name="display_urn:schemas-microsoft-com:office:office#Author">
    <vt:lpwstr>BOTERERE Phillip</vt:lpwstr>
  </property>
</Properties>
</file>