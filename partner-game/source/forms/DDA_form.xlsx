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iomint-my.sharepoint.com/personal/manamohammed_iom_int/Documents/Desktop/"/>
    </mc:Choice>
  </mc:AlternateContent>
  <xr:revisionPtr revIDLastSave="0" documentId="8_{A89054C2-6B1A-46EB-877F-50F16CC0A035}" xr6:coauthVersionLast="47" xr6:coauthVersionMax="47" xr10:uidLastSave="{00000000-0000-0000-0000-000000000000}"/>
  <bookViews>
    <workbookView xWindow="-110" yWindow="-110" windowWidth="19420" windowHeight="11500" xr2:uid="{FDF06624-7A87-49D1-B505-47F7BEB50CDB}"/>
  </bookViews>
  <sheets>
    <sheet name="Due Dilegence Assessment" sheetId="1" r:id="rId1"/>
  </sheets>
  <externalReferences>
    <externalReference r:id="rId2"/>
  </externalReferences>
  <definedNames>
    <definedName name="_xlnm.Print_Area" localSheetId="0">'Due Dilegence Assessment'!$A$1:$B$77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74" i="1" l="1"/>
  <c r="D72" i="1"/>
  <c r="B72" i="1"/>
  <c r="D71" i="1"/>
  <c r="A70" i="1"/>
  <c r="C70" i="1" s="1"/>
  <c r="B70" i="1" s="1"/>
  <c r="C69" i="1"/>
  <c r="B69" i="1" s="1"/>
  <c r="A69" i="1"/>
  <c r="A68" i="1"/>
  <c r="C68" i="1" s="1"/>
  <c r="B68" i="1" s="1"/>
  <c r="A67" i="1"/>
  <c r="C67" i="1" s="1"/>
  <c r="B67" i="1" s="1"/>
  <c r="A66" i="1"/>
  <c r="C66" i="1" s="1"/>
  <c r="U62" i="1"/>
  <c r="U61" i="1"/>
  <c r="U60" i="1"/>
  <c r="U57" i="1"/>
  <c r="U56" i="1"/>
  <c r="U55" i="1"/>
  <c r="U54" i="1"/>
  <c r="U53" i="1"/>
  <c r="U52" i="1"/>
  <c r="U51" i="1"/>
  <c r="U48" i="1"/>
  <c r="U47" i="1"/>
  <c r="U46" i="1"/>
  <c r="U45" i="1"/>
  <c r="U44" i="1"/>
  <c r="U43" i="1"/>
  <c r="U39" i="1"/>
  <c r="U38" i="1"/>
  <c r="U37" i="1"/>
  <c r="U36" i="1"/>
  <c r="U33" i="1"/>
  <c r="U32" i="1"/>
  <c r="U31" i="1"/>
  <c r="U30" i="1"/>
  <c r="U29" i="1"/>
  <c r="C16" i="1"/>
  <c r="C15" i="1"/>
  <c r="C14" i="1"/>
  <c r="C13" i="1"/>
  <c r="B66" i="1" l="1"/>
  <c r="C71" i="1"/>
  <c r="B71" i="1" s="1"/>
  <c r="C73" i="1" s="1"/>
</calcChain>
</file>

<file path=xl/sharedStrings.xml><?xml version="1.0" encoding="utf-8"?>
<sst xmlns="http://schemas.openxmlformats.org/spreadsheetml/2006/main" count="163" uniqueCount="110">
  <si>
    <t>Implementing Partner - Assessment Template
(FOR INTERNAL USE ONLY) - V3</t>
  </si>
  <si>
    <t>The template can be used at the country level when considering new implementing partnership agreements, particularly partnerships with an organization that office has not previously worked with. By encouraging the rating of various elements under each area, and the formalized documentation of each element, the assessment provides a starting point for an organizational assessment and/or due diligence. The  relevance of each element included in the checklist will vary according to the specific situation, needs and context. It is recommended to use this assessment as a template, adapting it and adding questions from the second sheet as necessary to ensure adequate focus on the most important aspects related to the specific proposed partnership. Please read the relevant section of the IN/288.</t>
  </si>
  <si>
    <t>Full name of the organization and abbreviation:</t>
  </si>
  <si>
    <t>.</t>
  </si>
  <si>
    <t xml:space="preserve">Type of Implementing Partner </t>
  </si>
  <si>
    <t>Assessment carried out by (Name of County Office, Department, Unit, Person):</t>
  </si>
  <si>
    <t>Address and e-mail of contact person:</t>
  </si>
  <si>
    <t>Date of assessment:</t>
  </si>
  <si>
    <t>Sources of verification (meeting, document review, other):</t>
  </si>
  <si>
    <t>Existing partnership with this organization?</t>
  </si>
  <si>
    <t>If yes, when did cooperation with  this organization start?</t>
  </si>
  <si>
    <t>Prerequisites (Action needed is automatically filled based on the response)</t>
  </si>
  <si>
    <t>Response</t>
  </si>
  <si>
    <t>Action needed 
(automatically filled)</t>
  </si>
  <si>
    <t>Comments, if applicable</t>
  </si>
  <si>
    <r>
      <t xml:space="preserve">If the organization is an NGO, is it a legal entity that is currently registered to operate in the country? </t>
    </r>
    <r>
      <rPr>
        <i/>
        <sz val="12"/>
        <rFont val="Calibri"/>
        <family val="2"/>
      </rPr>
      <t>(check e.g. Legal incorporation documents, Registration with government)</t>
    </r>
  </si>
  <si>
    <t xml:space="preserve">valid registraion certificate </t>
  </si>
  <si>
    <t>Prog</t>
  </si>
  <si>
    <r>
      <t xml:space="preserve">Is the organization or its senior management listed in counterterrorism lists </t>
    </r>
    <r>
      <rPr>
        <i/>
        <sz val="12"/>
        <rFont val="Calibri"/>
        <family val="2"/>
      </rPr>
      <t>(Consolidated United Nations Security Council Sanctions List, United Nations Global Marketplace vendor ineligibility list, UN partners blacklist or any relevant Government lists)?</t>
    </r>
  </si>
  <si>
    <r>
      <t xml:space="preserve">Is there any credible evidence that the organization has political affiliations that could compromise IOM's neutrality in a way that cannot be adequately managed and justified? </t>
    </r>
    <r>
      <rPr>
        <i/>
        <sz val="12"/>
        <rFont val="Calibri"/>
        <family val="2"/>
      </rPr>
      <t>(e.g. IOM staff can review donor evaluations, conduct internet/press search for serious criticism from donors/CSO/media or other significant parties of IOM</t>
    </r>
    <r>
      <rPr>
        <sz val="12"/>
        <rFont val="Calibri"/>
        <family val="2"/>
      </rPr>
      <t>)</t>
    </r>
  </si>
  <si>
    <t>C.5 Must No</t>
  </si>
  <si>
    <t xml:space="preserve">If there is a known history of fraud in relation to this organization, have they been reviewed and satisfactorily resolved or if not, can they be adequately managed or justified in the context of this specific project/programme? </t>
  </si>
  <si>
    <t>Feed back from prog if any Finance to verify</t>
  </si>
  <si>
    <t>General Risk Profile</t>
  </si>
  <si>
    <t>Risk Categorization Criteria</t>
  </si>
  <si>
    <t>Select the closest answers based on pre-determined drop down</t>
  </si>
  <si>
    <t>New IP relationship</t>
  </si>
  <si>
    <t>Estimated IP Contract Value</t>
  </si>
  <si>
    <t>IOM has received the equivalent funds from the donor in advance and the use of IPs included in the donor agreement</t>
  </si>
  <si>
    <t>UN/UNCT/CBPF risk categorization</t>
  </si>
  <si>
    <t>Check UNPP</t>
  </si>
  <si>
    <t>Previous performance record, if the IP has already worked with IOM.</t>
  </si>
  <si>
    <t>Prog and finance</t>
  </si>
  <si>
    <t>Financial Stability of the IP</t>
  </si>
  <si>
    <t>To be addressed by Finance</t>
  </si>
  <si>
    <t>Fina</t>
  </si>
  <si>
    <t>Have recent audits or financial verifications been conducted on the IP`s activities and if so what was the result?</t>
  </si>
  <si>
    <t>Core project activities delivered by the IP:</t>
  </si>
  <si>
    <t>prog</t>
  </si>
  <si>
    <t>Comments</t>
  </si>
  <si>
    <t>Section</t>
  </si>
  <si>
    <t>WEIGHT</t>
  </si>
  <si>
    <t>Score</t>
  </si>
  <si>
    <t>A. GOVERNANCE, EXTERNAL ENGAGEMENT AND INFLUENCE</t>
  </si>
  <si>
    <r>
      <rPr>
        <sz val="12"/>
        <rFont val="Calibri"/>
        <family val="2"/>
      </rPr>
      <t>Is there an organizational structure/chart?</t>
    </r>
  </si>
  <si>
    <t>A</t>
  </si>
  <si>
    <t>Does the organization have access to beneficiaries in the geographic areas covered by the project, or the affected area(s)?</t>
  </si>
  <si>
    <t>Prog C.3</t>
  </si>
  <si>
    <t>Is the organization involved in networking with other Civil Society Organizations,  humanitarian organizations or networks?</t>
  </si>
  <si>
    <t>Prog C.1</t>
  </si>
  <si>
    <t>Does the organization coordinate with the government/authorities?</t>
  </si>
  <si>
    <t>Prog C.4</t>
  </si>
  <si>
    <t>Does the organization have and follow counterterrorism policies and procedures  that enable it to comply with donor requirements, such as systematic vetting of its implementing partners and suppliers against recognized lists of terrorists?</t>
  </si>
  <si>
    <t>Prog F.2</t>
  </si>
  <si>
    <t>B. PROGRAMMATIC CAPACITY</t>
  </si>
  <si>
    <t>Does the organization:</t>
  </si>
  <si>
    <t>Uphold and abide by the humanitarian principles?</t>
  </si>
  <si>
    <t>prog D.6</t>
  </si>
  <si>
    <t>B</t>
  </si>
  <si>
    <t>Have a framework for Accountability to Affected Populations?</t>
  </si>
  <si>
    <t>prog D.11</t>
  </si>
  <si>
    <t>Have a Code of Conduct?</t>
  </si>
  <si>
    <t>prog D.12</t>
  </si>
  <si>
    <t>Have a policies and mechanism in place to report and monitor response to allegations of SH and SEA by and against their personnel? (Consider available reporting mechanisms such as emails, hotlines, phone numbers, contact person etc.)</t>
  </si>
  <si>
    <t>prog D.13</t>
  </si>
  <si>
    <t>C. OPERATIONAL CAPACITY</t>
  </si>
  <si>
    <t>Does the organization have:</t>
  </si>
  <si>
    <t>Adequately staffed and resourced units (finance, logistics, office infrastructure, M&amp;E)?</t>
  </si>
  <si>
    <t>Prog and finance D.14</t>
  </si>
  <si>
    <t>C</t>
  </si>
  <si>
    <t>Personnel guidelines?</t>
  </si>
  <si>
    <t>Prog and finance B.5</t>
  </si>
  <si>
    <t>Administrative guidelines?</t>
  </si>
  <si>
    <t xml:space="preserve">Do they have HR policy </t>
  </si>
  <si>
    <t>Prog and finance D.16</t>
  </si>
  <si>
    <t>Security procedures?</t>
  </si>
  <si>
    <t>Prog and finance D.17</t>
  </si>
  <si>
    <t>A documented risk register and a risk management process?</t>
  </si>
  <si>
    <t>Prog and finance D.18</t>
  </si>
  <si>
    <t>An adequate filing system?</t>
  </si>
  <si>
    <t>Prog and finance D.19</t>
  </si>
  <si>
    <t>D. FINANCIAL CAPACITY AND ACCOUNTING SYSTEM</t>
  </si>
  <si>
    <t>The organization produces an annual audited financial statement</t>
  </si>
  <si>
    <t>finance</t>
  </si>
  <si>
    <t>D</t>
  </si>
  <si>
    <t xml:space="preserve">Does the organization have detailed policies documenting its accounting standards, rules and procedures? </t>
  </si>
  <si>
    <t>Can the organization provide periodic financial reports at the project level?</t>
  </si>
  <si>
    <t>Does the organization have its own bank account registered in its own name?</t>
  </si>
  <si>
    <t xml:space="preserve">Does the organization have established internal audit functions? </t>
  </si>
  <si>
    <t>Is there a regular requirement for external audit on the companies accounts and if yes, is it carried out in a timely manner?</t>
  </si>
  <si>
    <t xml:space="preserve">Is the organization financially healthy based on its most recent (at least last three years) audited financial statements? (e.g. assets exceed liabilities, accumulated surpluses exist, cash and investments exceed current liabilities, audit report does not raise significant issues, etc). </t>
  </si>
  <si>
    <t>Comments. 
If the accounting and internal control systems are weak, please provide a justification for why IOM should consider partnering with the organization and what additional measures will be put in place to compensate and mitigate the potential risk.</t>
  </si>
  <si>
    <t>E. SUPPLY CHAIN CAPACITY</t>
  </si>
  <si>
    <t>Does the organization have procurement  policies in place?</t>
  </si>
  <si>
    <t>E</t>
  </si>
  <si>
    <t>Does the organization have procedures for handing over, write-off, sales and disposal of assets?</t>
  </si>
  <si>
    <t>Is a policy for segregation of duties and delegation of authority in the procurement process available?</t>
  </si>
  <si>
    <t>Comments. 
If the procurement and supply chain systems and processes are weak, please provide a justification for why IOM should consider partnering with the organization and what additional measures will be put in place to compensate and mitigate the potential risk.</t>
  </si>
  <si>
    <r>
      <rPr>
        <b/>
        <sz val="12"/>
        <color rgb="FFFFFFFF"/>
        <rFont val="Calibri"/>
        <family val="2"/>
        <scheme val="minor"/>
      </rPr>
      <t>OVERALL RATING/SUMMARY</t>
    </r>
  </si>
  <si>
    <t>(STRONG 80 to 100), (FAIR 50 to 79), (WEAK less than 50)</t>
  </si>
  <si>
    <t>For overall score</t>
  </si>
  <si>
    <r>
      <t>Overall</t>
    </r>
    <r>
      <rPr>
        <i/>
        <sz val="12"/>
        <rFont val="Calibri"/>
        <family val="2"/>
        <scheme val="minor"/>
      </rPr>
      <t xml:space="preserve"> (over 80% STRONG, Between 60% to 79% FAIR, less than 60% WEAK)..</t>
    </r>
  </si>
  <si>
    <t>Automatically generated risk rating based on answers to risk categorization criteria</t>
  </si>
  <si>
    <t>RECOMMENDATIONS BASED ON THE ASSESSMENT FOR THE DECISION OF THE OFFICE</t>
  </si>
  <si>
    <t>DO NOT ENGAGE</t>
  </si>
  <si>
    <t>SUMMARY CONCLUSION OF THE ASSESSMENT FOR THE DECISION OF THE OFFICE:</t>
  </si>
  <si>
    <r>
      <t>PLACE/DATE/SIGNATURE OF STAFF</t>
    </r>
    <r>
      <rPr>
        <sz val="12"/>
        <rFont val="Calibri"/>
        <family val="2"/>
        <scheme val="minor"/>
      </rPr>
      <t xml:space="preserve"> </t>
    </r>
    <r>
      <rPr>
        <b/>
        <sz val="12"/>
        <rFont val="Calibri"/>
        <family val="2"/>
        <scheme val="minor"/>
      </rPr>
      <t>WHO CARRIED OUT THE ASSESSMENT:</t>
    </r>
  </si>
  <si>
    <r>
      <t>PLACE/DATE/SIGNATURE OF STAFF</t>
    </r>
    <r>
      <rPr>
        <sz val="12"/>
        <rFont val="Calibri"/>
        <family val="2"/>
        <scheme val="minor"/>
      </rPr>
      <t xml:space="preserve"> </t>
    </r>
    <r>
      <rPr>
        <b/>
        <sz val="12"/>
        <rFont val="Calibri"/>
        <family val="2"/>
        <scheme val="minor"/>
      </rPr>
      <t>WHO CARRIED OUT THE ASSESSMENT(Finance):</t>
    </r>
  </si>
  <si>
    <t>Final  Approval :</t>
  </si>
  <si>
    <t>UK: es casí imposible encontrar este mensaje?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</si>
</sst>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25" x14ac:knownFonts="1">
    <font>
      <sz val="11"/>
      <color theme="1"/>
      <name val="Calibri"/>
      <family val="2"/>
      <scheme val="minor"/>
    </font>
    <font>
      <sz val="11"/>
      <color rgb="FFFF0000"/>
      <name val="Calibri"/>
      <family val="2"/>
      <scheme val="minor"/>
    </font>
    <font>
      <b/>
      <sz val="11"/>
      <color theme="1"/>
      <name val="Calibri"/>
      <family val="2"/>
      <scheme val="minor"/>
    </font>
    <font>
      <b/>
      <sz val="16"/>
      <color rgb="FFFFFFFF"/>
      <name val="Calibri"/>
      <family val="2"/>
    </font>
    <font>
      <b/>
      <sz val="18"/>
      <color rgb="FFFFFFFF"/>
      <name val="Calibri"/>
      <family val="2"/>
    </font>
    <font>
      <sz val="12"/>
      <color theme="1"/>
      <name val="Calibri"/>
      <family val="2"/>
      <scheme val="minor"/>
    </font>
    <font>
      <sz val="12"/>
      <name val="Calibri"/>
      <family val="2"/>
    </font>
    <font>
      <sz val="12"/>
      <name val="Calibri"/>
      <family val="2"/>
      <scheme val="minor"/>
    </font>
    <font>
      <u/>
      <sz val="11"/>
      <color theme="10"/>
      <name val="Calibri"/>
      <family val="2"/>
      <scheme val="minor"/>
    </font>
    <font>
      <b/>
      <sz val="12"/>
      <color rgb="FFFFFFFF"/>
      <name val="Calibri"/>
      <family val="2"/>
    </font>
    <font>
      <b/>
      <sz val="12"/>
      <color theme="0"/>
      <name val="Calibri"/>
      <family val="2"/>
    </font>
    <font>
      <i/>
      <sz val="12"/>
      <name val="Calibri"/>
      <family val="2"/>
    </font>
    <font>
      <b/>
      <sz val="16"/>
      <name val="Calibri"/>
      <family val="2"/>
    </font>
    <font>
      <b/>
      <sz val="14"/>
      <color rgb="FFFFFFFF"/>
      <name val="Calibri"/>
      <family val="2"/>
    </font>
    <font>
      <sz val="12"/>
      <color theme="0"/>
      <name val="Calibri"/>
      <family val="2"/>
      <scheme val="minor"/>
    </font>
    <font>
      <sz val="11"/>
      <name val="Calibri"/>
      <family val="2"/>
      <scheme val="minor"/>
    </font>
    <font>
      <b/>
      <sz val="12"/>
      <name val="Calibri"/>
      <family val="2"/>
    </font>
    <font>
      <sz val="11"/>
      <color rgb="FF000000"/>
      <name val="Calibri"/>
      <family val="2"/>
      <scheme val="minor"/>
    </font>
    <font>
      <b/>
      <sz val="12"/>
      <color theme="0"/>
      <name val="Calibri"/>
      <family val="2"/>
      <scheme val="minor"/>
    </font>
    <font>
      <b/>
      <sz val="12"/>
      <name val="Calibri"/>
      <family val="2"/>
      <scheme val="minor"/>
    </font>
    <font>
      <b/>
      <sz val="12"/>
      <color rgb="FFFFFFFF"/>
      <name val="Calibri"/>
      <family val="2"/>
      <scheme val="minor"/>
    </font>
    <font>
      <i/>
      <sz val="12"/>
      <name val="Calibri"/>
      <family val="2"/>
      <scheme val="minor"/>
    </font>
    <font>
      <b/>
      <sz val="12"/>
      <color theme="1"/>
      <name val="Calibri"/>
      <family val="2"/>
      <scheme val="minor"/>
    </font>
    <font>
      <b/>
      <sz val="12"/>
      <color theme="1"/>
      <name val="Calibri"/>
      <family val="2"/>
    </font>
    <font>
      <sz val="11"/>
      <color theme="1"/>
      <name val="Blackadder ITC"/>
      <family val="5"/>
    </font>
  </fonts>
  <fills count="10">
    <fill>
      <patternFill patternType="none"/>
    </fill>
    <fill>
      <patternFill patternType="gray125"/>
    </fill>
    <fill>
      <patternFill patternType="solid">
        <fgColor rgb="FF0070C0"/>
        <bgColor indexed="64"/>
      </patternFill>
    </fill>
    <fill>
      <patternFill patternType="solid">
        <fgColor rgb="FFDADADA"/>
      </patternFill>
    </fill>
    <fill>
      <patternFill patternType="solid">
        <fgColor rgb="FF9D9D9C"/>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bgColor indexed="64"/>
      </patternFill>
    </fill>
  </fills>
  <borders count="23">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rgb="FF9D9D9C"/>
      </top>
      <bottom style="thin">
        <color rgb="FF9D9D9C"/>
      </bottom>
      <diagonal/>
    </border>
    <border>
      <left style="thin">
        <color auto="1"/>
      </left>
      <right style="thin">
        <color auto="1"/>
      </right>
      <top style="thin">
        <color auto="1"/>
      </top>
      <bottom style="thin">
        <color auto="1"/>
      </bottom>
      <diagonal/>
    </border>
    <border>
      <left style="thin">
        <color rgb="FF9D9D9C"/>
      </left>
      <right style="medium">
        <color indexed="64"/>
      </right>
      <top style="thin">
        <color rgb="FF9D9D9C"/>
      </top>
      <bottom style="thin">
        <color rgb="FF9D9D9C"/>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top/>
      <bottom style="thin">
        <color rgb="FF9D9D9C"/>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rgb="FFFFFFFF"/>
      </right>
      <top style="medium">
        <color rgb="FFFFFFFF"/>
      </top>
      <bottom style="medium">
        <color rgb="FFFFFFFF"/>
      </bottom>
      <diagonal/>
    </border>
    <border>
      <left style="medium">
        <color rgb="FFFFFFFF"/>
      </left>
      <right style="thin">
        <color indexed="64"/>
      </right>
      <top style="medium">
        <color rgb="FFFFFFFF"/>
      </top>
      <bottom style="medium">
        <color rgb="FFFFFFFF"/>
      </bottom>
      <diagonal/>
    </border>
    <border>
      <left style="thin">
        <color indexed="64"/>
      </left>
      <right style="thin">
        <color rgb="FF9D9D9C"/>
      </right>
      <top style="thin">
        <color rgb="FF9D9D9C"/>
      </top>
      <bottom style="thin">
        <color rgb="FF9D9D9C"/>
      </bottom>
      <diagonal/>
    </border>
    <border>
      <left style="thin">
        <color rgb="FF9D9D9C"/>
      </left>
      <right style="thin">
        <color indexed="64"/>
      </right>
      <top style="thin">
        <color rgb="FF9D9D9C"/>
      </top>
      <bottom style="thin">
        <color rgb="FF9D9D9C"/>
      </bottom>
      <diagonal/>
    </border>
    <border>
      <left/>
      <right style="thin">
        <color indexed="64"/>
      </right>
      <top style="thin">
        <color rgb="FF9D9D9C"/>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rgb="FF9D9D9C"/>
      </left>
      <right style="thin">
        <color indexed="64"/>
      </right>
      <top/>
      <bottom style="thin">
        <color rgb="FF9D9D9C"/>
      </bottom>
      <diagonal/>
    </border>
    <border>
      <left style="thin">
        <color indexed="64"/>
      </left>
      <right style="thin">
        <color rgb="FF9D9D9C"/>
      </right>
      <top style="thin">
        <color rgb="FF9D9D9C"/>
      </top>
      <bottom style="thin">
        <color indexed="64"/>
      </bottom>
      <diagonal/>
    </border>
  </borders>
  <cellStyleXfs count="2">
    <xf numFmtId="0" fontId="0" fillId="0" borderId="0"/>
    <xf numFmtId="0" fontId="8" fillId="0" borderId="0" applyNumberFormat="0" applyFill="0" applyBorder="0" applyAlignment="0" applyProtection="0"/>
  </cellStyleXfs>
  <cellXfs count="91">
    <xf numFmtId="0" fontId="0" fillId="0" borderId="0" xfId="0"/>
    <xf numFmtId="0" fontId="3" fillId="2" borderId="1" xfId="0" applyFont="1" applyFill="1" applyBorder="1" applyAlignment="1">
      <alignment horizontal="center" vertical="center" wrapText="1" readingOrder="1"/>
    </xf>
    <xf numFmtId="0" fontId="4" fillId="0" borderId="0" xfId="0" applyFont="1" applyAlignment="1">
      <alignment vertical="center" wrapText="1" readingOrder="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0" fillId="0" borderId="0" xfId="0" applyAlignment="1">
      <alignment horizontal="center"/>
    </xf>
    <xf numFmtId="0" fontId="6" fillId="3" borderId="4" xfId="0" applyFont="1" applyFill="1" applyBorder="1" applyAlignment="1">
      <alignmen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8" fillId="0" borderId="6" xfId="1" applyBorder="1" applyAlignment="1">
      <alignment horizontal="left" vertical="center" wrapText="1"/>
    </xf>
    <xf numFmtId="164" fontId="7" fillId="0" borderId="5" xfId="0" applyNumberFormat="1" applyFont="1" applyBorder="1" applyAlignment="1">
      <alignment horizontal="left" vertical="center" wrapText="1"/>
    </xf>
    <xf numFmtId="0" fontId="7" fillId="0" borderId="5" xfId="0" applyFont="1" applyBorder="1" applyAlignment="1">
      <alignment horizontal="left" vertical="top" wrapText="1"/>
    </xf>
    <xf numFmtId="0" fontId="5" fillId="0" borderId="7" xfId="0" applyFont="1" applyBorder="1"/>
    <xf numFmtId="0" fontId="5" fillId="0" borderId="8" xfId="0" applyFont="1" applyBorder="1" applyAlignment="1">
      <alignment horizontal="left"/>
    </xf>
    <xf numFmtId="0" fontId="9" fillId="4" borderId="2"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2" fillId="0" borderId="0" xfId="0" applyFont="1" applyAlignment="1">
      <alignment horizontal="center" vertical="center"/>
    </xf>
    <xf numFmtId="0" fontId="6" fillId="0" borderId="7" xfId="0" applyFont="1" applyBorder="1" applyAlignment="1">
      <alignment horizontal="left" vertical="center" wrapText="1"/>
    </xf>
    <xf numFmtId="0" fontId="6" fillId="5" borderId="5" xfId="0" applyFont="1" applyFill="1" applyBorder="1" applyAlignment="1">
      <alignment horizontal="left" vertical="center" wrapText="1"/>
    </xf>
    <xf numFmtId="2" fontId="0" fillId="0" borderId="0" xfId="0" applyNumberFormat="1" applyAlignment="1" applyProtection="1">
      <alignment vertical="center" wrapText="1"/>
      <protection hidden="1"/>
    </xf>
    <xf numFmtId="0" fontId="0" fillId="0" borderId="8" xfId="0" applyBorder="1" applyAlignment="1">
      <alignment horizontal="left" vertical="center" wrapText="1"/>
    </xf>
    <xf numFmtId="0" fontId="0" fillId="6" borderId="0" xfId="0" applyFill="1" applyAlignment="1">
      <alignment vertical="center"/>
    </xf>
    <xf numFmtId="0" fontId="0" fillId="0" borderId="0" xfId="0" applyAlignment="1">
      <alignment vertical="center"/>
    </xf>
    <xf numFmtId="0" fontId="0" fillId="0" borderId="8" xfId="0" applyBorder="1" applyAlignment="1">
      <alignment horizontal="center" vertical="center"/>
    </xf>
    <xf numFmtId="0" fontId="6" fillId="5" borderId="10" xfId="0" applyFont="1" applyFill="1" applyBorder="1" applyAlignment="1">
      <alignment horizontal="left" vertical="center" wrapText="1"/>
    </xf>
    <xf numFmtId="0" fontId="6" fillId="5" borderId="11" xfId="0" applyFont="1" applyFill="1" applyBorder="1" applyAlignment="1">
      <alignment horizontal="left" vertical="center" wrapText="1"/>
    </xf>
    <xf numFmtId="0" fontId="6" fillId="6" borderId="5" xfId="0" applyFont="1" applyFill="1" applyBorder="1" applyAlignment="1">
      <alignment horizontal="left" vertical="center" wrapText="1"/>
    </xf>
    <xf numFmtId="2" fontId="0" fillId="0" borderId="1" xfId="0" applyNumberFormat="1" applyBorder="1" applyAlignment="1" applyProtection="1">
      <alignment vertical="center" wrapText="1"/>
      <protection hidden="1"/>
    </xf>
    <xf numFmtId="0" fontId="0" fillId="0" borderId="12" xfId="0" applyBorder="1" applyAlignment="1">
      <alignment horizontal="center" vertical="center"/>
    </xf>
    <xf numFmtId="0" fontId="3" fillId="2" borderId="7"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0" fillId="0" borderId="0" xfId="0" applyAlignment="1">
      <alignment horizontal="center" vertical="center"/>
    </xf>
    <xf numFmtId="0" fontId="13" fillId="2" borderId="13" xfId="0" applyFont="1" applyFill="1" applyBorder="1" applyAlignment="1">
      <alignment horizontal="left" vertical="center" wrapText="1" indent="1" readingOrder="1"/>
    </xf>
    <xf numFmtId="0" fontId="13" fillId="2" borderId="14" xfId="0" applyFont="1" applyFill="1" applyBorder="1" applyAlignment="1">
      <alignment horizontal="left" vertical="center" wrapText="1" indent="1" readingOrder="1"/>
    </xf>
    <xf numFmtId="0" fontId="1" fillId="0" borderId="0" xfId="0" applyFont="1" applyAlignment="1">
      <alignment vertical="center"/>
    </xf>
    <xf numFmtId="0" fontId="7" fillId="0" borderId="5" xfId="0" applyFont="1" applyBorder="1" applyAlignment="1">
      <alignment vertical="center" wrapText="1"/>
    </xf>
    <xf numFmtId="0" fontId="6" fillId="7" borderId="5" xfId="0" applyFont="1" applyFill="1" applyBorder="1" applyAlignment="1" applyProtection="1">
      <alignment horizontal="left" vertical="center" wrapText="1" readingOrder="1"/>
      <protection locked="0"/>
    </xf>
    <xf numFmtId="0" fontId="0" fillId="0" borderId="0" xfId="0" applyAlignment="1">
      <alignment horizontal="center" vertical="center" wrapText="1"/>
    </xf>
    <xf numFmtId="0" fontId="2" fillId="0" borderId="0" xfId="0" applyFont="1" applyAlignment="1">
      <alignment vertical="center"/>
    </xf>
    <xf numFmtId="0" fontId="0" fillId="5" borderId="0" xfId="0" applyFill="1" applyAlignment="1">
      <alignment horizontal="center" vertical="center"/>
    </xf>
    <xf numFmtId="0" fontId="6" fillId="7" borderId="14" xfId="0" applyFont="1" applyFill="1" applyBorder="1" applyAlignment="1" applyProtection="1">
      <alignment horizontal="left" vertical="center" wrapText="1" readingOrder="1"/>
      <protection locked="0"/>
    </xf>
    <xf numFmtId="0" fontId="11" fillId="8" borderId="15" xfId="0" applyFont="1" applyFill="1" applyBorder="1" applyAlignment="1">
      <alignment horizontal="left" vertical="center" wrapText="1"/>
    </xf>
    <xf numFmtId="0" fontId="5" fillId="8" borderId="16" xfId="0" applyFont="1" applyFill="1" applyBorder="1" applyAlignment="1">
      <alignment horizontal="left" vertical="center"/>
    </xf>
    <xf numFmtId="0" fontId="10" fillId="2" borderId="7" xfId="0" applyFont="1" applyFill="1" applyBorder="1" applyAlignment="1">
      <alignment vertical="center" wrapText="1"/>
    </xf>
    <xf numFmtId="0" fontId="14" fillId="2" borderId="8" xfId="0" applyFont="1" applyFill="1" applyBorder="1" applyAlignment="1">
      <alignment horizontal="left" vertical="center"/>
    </xf>
    <xf numFmtId="0" fontId="5" fillId="0" borderId="15" xfId="0" applyFont="1" applyBorder="1" applyAlignment="1">
      <alignment horizontal="left" vertical="center" wrapText="1"/>
    </xf>
    <xf numFmtId="0" fontId="6" fillId="5" borderId="16" xfId="0" applyFont="1" applyFill="1" applyBorder="1" applyAlignment="1">
      <alignment horizontal="left" vertical="center" wrapText="1"/>
    </xf>
    <xf numFmtId="1" fontId="0" fillId="0" borderId="0" xfId="0" applyNumberFormat="1" applyAlignment="1">
      <alignment horizontal="left" vertical="center"/>
    </xf>
    <xf numFmtId="1" fontId="0" fillId="0" borderId="0" xfId="0" applyNumberFormat="1" applyAlignment="1">
      <alignment horizontal="center" vertical="center"/>
    </xf>
    <xf numFmtId="0" fontId="6" fillId="0" borderId="15" xfId="0" applyFont="1" applyBorder="1" applyAlignment="1">
      <alignment vertical="center" wrapText="1"/>
    </xf>
    <xf numFmtId="0" fontId="15" fillId="0" borderId="0" xfId="0" applyFont="1" applyAlignment="1">
      <alignment horizontal="left" vertical="center" wrapText="1"/>
    </xf>
    <xf numFmtId="0" fontId="0" fillId="0" borderId="0" xfId="0" applyAlignment="1">
      <alignment horizontal="left" vertical="center" wrapText="1"/>
    </xf>
    <xf numFmtId="0" fontId="6" fillId="0" borderId="10" xfId="0" applyFont="1" applyBorder="1" applyAlignment="1">
      <alignment vertical="center" wrapText="1"/>
    </xf>
    <xf numFmtId="0" fontId="6" fillId="0" borderId="4" xfId="0" applyFont="1" applyBorder="1" applyAlignment="1">
      <alignment vertical="center" wrapText="1"/>
    </xf>
    <xf numFmtId="0" fontId="9" fillId="4" borderId="7" xfId="0" applyFont="1" applyFill="1" applyBorder="1" applyAlignment="1">
      <alignment vertical="center" wrapText="1"/>
    </xf>
    <xf numFmtId="0" fontId="16" fillId="4" borderId="8" xfId="0" applyFont="1" applyFill="1" applyBorder="1" applyAlignment="1">
      <alignment horizontal="left" vertical="center" wrapText="1"/>
    </xf>
    <xf numFmtId="0" fontId="0" fillId="0" borderId="0" xfId="0" applyAlignment="1">
      <alignment horizontal="left" vertical="center"/>
    </xf>
    <xf numFmtId="0" fontId="17" fillId="0" borderId="0" xfId="0" applyFont="1" applyAlignment="1">
      <alignment readingOrder="2"/>
    </xf>
    <xf numFmtId="0" fontId="6" fillId="8" borderId="15" xfId="0" applyFont="1" applyFill="1" applyBorder="1" applyAlignment="1">
      <alignment horizontal="left" vertical="center" wrapText="1"/>
    </xf>
    <xf numFmtId="0" fontId="16" fillId="4" borderId="17" xfId="0" applyFont="1" applyFill="1" applyBorder="1" applyAlignment="1">
      <alignment horizontal="left" vertical="center" wrapText="1"/>
    </xf>
    <xf numFmtId="0" fontId="6" fillId="0" borderId="15" xfId="0" applyFont="1" applyBorder="1" applyAlignment="1">
      <alignment horizontal="left" vertical="center" wrapText="1"/>
    </xf>
    <xf numFmtId="0" fontId="6" fillId="0" borderId="16" xfId="0" applyFont="1" applyBorder="1" applyAlignment="1">
      <alignment horizontal="left" vertical="center" wrapText="1"/>
    </xf>
    <xf numFmtId="0" fontId="0" fillId="0" borderId="0" xfId="0" applyAlignment="1">
      <alignment vertical="center" wrapText="1"/>
    </xf>
    <xf numFmtId="0" fontId="18" fillId="2" borderId="8" xfId="0" applyFont="1" applyFill="1" applyBorder="1" applyAlignment="1">
      <alignment horizontal="left" vertical="center"/>
    </xf>
    <xf numFmtId="0" fontId="6" fillId="5" borderId="4" xfId="0" applyFont="1" applyFill="1" applyBorder="1" applyAlignment="1">
      <alignment horizontal="left" vertical="center" wrapText="1"/>
    </xf>
    <xf numFmtId="0" fontId="2" fillId="5" borderId="0" xfId="0" applyFont="1" applyFill="1" applyAlignment="1">
      <alignment vertical="center"/>
    </xf>
    <xf numFmtId="0" fontId="5" fillId="8" borderId="16" xfId="0" applyFont="1" applyFill="1" applyBorder="1" applyAlignment="1">
      <alignment horizontal="left" vertical="center" wrapText="1"/>
    </xf>
    <xf numFmtId="0" fontId="0" fillId="0" borderId="7" xfId="0" applyBorder="1" applyAlignment="1">
      <alignment vertical="center"/>
    </xf>
    <xf numFmtId="0" fontId="0" fillId="0" borderId="8" xfId="0" applyBorder="1" applyAlignment="1">
      <alignment horizontal="left" vertical="center"/>
    </xf>
    <xf numFmtId="0" fontId="19" fillId="9" borderId="7" xfId="0" applyFont="1" applyFill="1" applyBorder="1" applyAlignment="1">
      <alignment vertical="top" wrapText="1"/>
    </xf>
    <xf numFmtId="0" fontId="21" fillId="9" borderId="8" xfId="0" applyFont="1" applyFill="1" applyBorder="1" applyAlignment="1">
      <alignment horizontal="left" vertical="top" wrapText="1"/>
    </xf>
    <xf numFmtId="0" fontId="1" fillId="0" borderId="0" xfId="0" applyFont="1" applyAlignment="1">
      <alignment vertical="center" wrapText="1"/>
    </xf>
    <xf numFmtId="0" fontId="19" fillId="0" borderId="10" xfId="0" applyFont="1" applyBorder="1" applyAlignment="1">
      <alignment vertical="top" wrapText="1"/>
    </xf>
    <xf numFmtId="1" fontId="7" fillId="0" borderId="0" xfId="0" applyNumberFormat="1" applyFont="1" applyAlignment="1">
      <alignment horizontal="center" vertical="top" wrapText="1"/>
    </xf>
    <xf numFmtId="0" fontId="2" fillId="0" borderId="0" xfId="0" applyFont="1" applyAlignment="1">
      <alignment horizontal="left" vertical="center"/>
    </xf>
    <xf numFmtId="0" fontId="0" fillId="6" borderId="0" xfId="0" applyFill="1" applyAlignment="1">
      <alignment horizontal="left" vertical="center"/>
    </xf>
    <xf numFmtId="0" fontId="19" fillId="0" borderId="4" xfId="0" applyFont="1" applyBorder="1" applyAlignment="1">
      <alignment vertical="top" wrapText="1"/>
    </xf>
    <xf numFmtId="0" fontId="19" fillId="0" borderId="7" xfId="0" applyFont="1" applyBorder="1" applyAlignment="1">
      <alignment horizontal="right" vertical="top" wrapText="1"/>
    </xf>
    <xf numFmtId="0" fontId="22" fillId="0" borderId="18" xfId="0" applyFont="1" applyBorder="1" applyAlignment="1">
      <alignment vertical="center"/>
    </xf>
    <xf numFmtId="0" fontId="20" fillId="9" borderId="7" xfId="0" applyFont="1" applyFill="1" applyBorder="1" applyAlignment="1">
      <alignment vertical="center" wrapText="1"/>
    </xf>
    <xf numFmtId="0" fontId="23" fillId="0" borderId="19" xfId="0" applyFont="1" applyBorder="1" applyAlignment="1" applyProtection="1">
      <alignment horizontal="left" vertical="center"/>
      <protection hidden="1"/>
    </xf>
    <xf numFmtId="0" fontId="19" fillId="3" borderId="4" xfId="0" applyFont="1" applyFill="1" applyBorder="1" applyAlignment="1">
      <alignment horizontal="left" vertical="center" wrapText="1"/>
    </xf>
    <xf numFmtId="0" fontId="2" fillId="6" borderId="20" xfId="0" applyFont="1" applyFill="1" applyBorder="1" applyAlignment="1">
      <alignment horizontal="center" vertical="center"/>
    </xf>
    <xf numFmtId="0" fontId="19" fillId="3" borderId="15" xfId="0" applyFont="1" applyFill="1" applyBorder="1" applyAlignment="1">
      <alignment horizontal="left" vertical="center" wrapText="1"/>
    </xf>
    <xf numFmtId="0" fontId="19" fillId="0" borderId="21" xfId="0" applyFont="1" applyBorder="1" applyAlignment="1">
      <alignment horizontal="left" vertical="center" wrapText="1"/>
    </xf>
    <xf numFmtId="0" fontId="19" fillId="3" borderId="22" xfId="0" applyFont="1" applyFill="1" applyBorder="1" applyAlignment="1">
      <alignment horizontal="left" vertical="center" wrapText="1"/>
    </xf>
    <xf numFmtId="0" fontId="0" fillId="8" borderId="20" xfId="0" applyFill="1" applyBorder="1" applyAlignment="1">
      <alignment horizontal="left" vertical="center"/>
    </xf>
    <xf numFmtId="0" fontId="19" fillId="3" borderId="20" xfId="0" applyFont="1" applyFill="1" applyBorder="1" applyAlignment="1">
      <alignment horizontal="left" vertical="center" wrapText="1"/>
    </xf>
    <xf numFmtId="0" fontId="0" fillId="0" borderId="0" xfId="0" applyAlignment="1">
      <alignment horizontal="left"/>
    </xf>
    <xf numFmtId="0" fontId="24" fillId="0" borderId="0" xfId="0" applyFont="1"/>
  </cellXfs>
  <cellStyles count="2">
    <cellStyle name="Hyperlink" xfId="1" builtinId="8"/>
    <cellStyle name="Normal" xfId="0" builtinId="0"/>
  </cellStyles>
  <dxfs count="28">
    <dxf>
      <fill>
        <patternFill>
          <bgColor theme="9" tint="0.79998168889431442"/>
        </patternFill>
      </fill>
    </dxf>
    <dxf>
      <fill>
        <patternFill>
          <bgColor theme="7" tint="0.79998168889431442"/>
        </patternFill>
      </fill>
    </dxf>
    <dxf>
      <fill>
        <patternFill patternType="solid">
          <bgColor rgb="FFFF0000"/>
        </patternFill>
      </fill>
    </dxf>
    <dxf>
      <fill>
        <patternFill>
          <bgColor rgb="FFFF0000"/>
        </patternFill>
      </fill>
    </dxf>
    <dxf>
      <fill>
        <patternFill>
          <bgColor theme="9" tint="0.59996337778862885"/>
        </patternFill>
      </fill>
    </dxf>
    <dxf>
      <fill>
        <patternFill>
          <bgColor rgb="FFFF0000"/>
        </patternFill>
      </fill>
    </dxf>
    <dxf>
      <fill>
        <patternFill>
          <bgColor rgb="FFFF0000"/>
        </patternFill>
      </fill>
    </dxf>
    <dxf>
      <fill>
        <patternFill>
          <bgColor theme="7"/>
        </patternFill>
      </fill>
    </dxf>
    <dxf>
      <fill>
        <patternFill>
          <bgColor theme="9" tint="0.59996337778862885"/>
        </patternFill>
      </fill>
    </dxf>
    <dxf>
      <font>
        <color rgb="FF00B050"/>
      </font>
    </dxf>
    <dxf>
      <font>
        <color rgb="FFFF0000"/>
      </font>
    </dxf>
    <dxf>
      <fill>
        <patternFill>
          <bgColor rgb="FF00B050"/>
        </patternFill>
      </fill>
    </dxf>
    <dxf>
      <fill>
        <patternFill>
          <bgColor rgb="FFC00000"/>
        </patternFill>
      </fill>
    </dxf>
    <dxf>
      <fill>
        <patternFill>
          <bgColor rgb="FFFFC000"/>
        </patternFill>
      </fill>
    </dxf>
    <dxf>
      <fill>
        <patternFill>
          <bgColor rgb="FF92D050"/>
        </patternFill>
      </fill>
    </dxf>
    <dxf>
      <fill>
        <patternFill>
          <bgColor theme="7" tint="0.59996337778862885"/>
        </patternFill>
      </fill>
    </dxf>
    <dxf>
      <font>
        <b/>
        <i val="0"/>
      </font>
      <fill>
        <patternFill>
          <bgColor rgb="FFFF0000"/>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187861</xdr:colOff>
      <xdr:row>0</xdr:row>
      <xdr:rowOff>78102</xdr:rowOff>
    </xdr:from>
    <xdr:to>
      <xdr:col>0</xdr:col>
      <xdr:colOff>1333500</xdr:colOff>
      <xdr:row>0</xdr:row>
      <xdr:rowOff>501941</xdr:rowOff>
    </xdr:to>
    <xdr:pic>
      <xdr:nvPicPr>
        <xdr:cNvPr id="2" name="Picture 1">
          <a:extLst>
            <a:ext uri="{FF2B5EF4-FFF2-40B4-BE49-F238E27FC236}">
              <a16:creationId xmlns:a16="http://schemas.microsoft.com/office/drawing/2014/main" id="{8AD00DCB-8FFF-47A7-87E7-93ED9C0D38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7861" y="78102"/>
          <a:ext cx="1145639" cy="42383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namohammed\Downloads\Due-Diligence-Assessment%20(2).xlsx" TargetMode="External"/><Relationship Id="rId1" Type="http://schemas.openxmlformats.org/officeDocument/2006/relationships/externalLinkPath" Target="file:///C:\Users\manamohammed\Downloads\Due-Diligence-Assessment%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vious IP Assessment Template"/>
      <sheetName val="Due Dilegence Assessment"/>
      <sheetName val="Optional Questions"/>
      <sheetName val="KoBo data"/>
      <sheetName val="CVs"/>
      <sheetName val="additional_supporting_documents"/>
      <sheetName val="Ratings"/>
      <sheetName val="Drop down"/>
    </sheetNames>
    <sheetDataSet>
      <sheetData sheetId="0"/>
      <sheetData sheetId="1"/>
      <sheetData sheetId="2"/>
      <sheetData sheetId="3"/>
      <sheetData sheetId="4"/>
      <sheetData sheetId="5"/>
      <sheetData sheetId="6">
        <row r="1">
          <cell r="B1" t="str">
            <v>LOW</v>
          </cell>
          <cell r="C1" t="str">
            <v>MEDIUM</v>
          </cell>
          <cell r="D1" t="str">
            <v>HIGH</v>
          </cell>
          <cell r="F1" t="str">
            <v>Matrix for the combination of risk rating and the overall summary rating to decide if IOM is advised to engage or not</v>
          </cell>
        </row>
        <row r="3">
          <cell r="F3" t="str">
            <v>Overall Rating</v>
          </cell>
          <cell r="G3" t="str">
            <v>Overall rating score</v>
          </cell>
          <cell r="H3" t="str">
            <v>Risk Category</v>
          </cell>
          <cell r="I3" t="str">
            <v>Risk Score</v>
          </cell>
          <cell r="J3" t="str">
            <v>Decision</v>
          </cell>
        </row>
        <row r="4">
          <cell r="F4" t="str">
            <v>Strong</v>
          </cell>
          <cell r="G4">
            <v>1</v>
          </cell>
          <cell r="H4" t="str">
            <v>HIGH</v>
          </cell>
          <cell r="I4">
            <v>0</v>
          </cell>
          <cell r="J4" t="str">
            <v>ENGAGE</v>
          </cell>
        </row>
        <row r="5">
          <cell r="F5" t="str">
            <v>Strong</v>
          </cell>
          <cell r="G5">
            <v>1</v>
          </cell>
          <cell r="H5" t="str">
            <v>MEDIUM</v>
          </cell>
          <cell r="I5">
            <v>0.5</v>
          </cell>
          <cell r="J5" t="str">
            <v>ENGAGE</v>
          </cell>
        </row>
        <row r="6">
          <cell r="F6" t="str">
            <v>Strong</v>
          </cell>
          <cell r="G6">
            <v>1</v>
          </cell>
          <cell r="H6" t="str">
            <v>LOW</v>
          </cell>
          <cell r="I6">
            <v>1</v>
          </cell>
          <cell r="J6" t="str">
            <v>ENGAGE</v>
          </cell>
        </row>
        <row r="7">
          <cell r="F7" t="str">
            <v>FAIR</v>
          </cell>
          <cell r="G7">
            <v>0.5</v>
          </cell>
          <cell r="H7" t="str">
            <v>HIGH</v>
          </cell>
          <cell r="I7">
            <v>0</v>
          </cell>
          <cell r="J7" t="str">
            <v>NOT ENGAGE</v>
          </cell>
        </row>
        <row r="8">
          <cell r="F8" t="str">
            <v>FAIR</v>
          </cell>
          <cell r="G8">
            <v>0.5</v>
          </cell>
          <cell r="H8" t="str">
            <v>MEDIUM</v>
          </cell>
          <cell r="I8">
            <v>0.5</v>
          </cell>
          <cell r="J8" t="str">
            <v>ENGAGE</v>
          </cell>
        </row>
        <row r="9">
          <cell r="F9" t="str">
            <v>FAIR</v>
          </cell>
          <cell r="G9">
            <v>0.5</v>
          </cell>
          <cell r="H9" t="str">
            <v>LOW</v>
          </cell>
          <cell r="I9">
            <v>1</v>
          </cell>
          <cell r="J9" t="str">
            <v>ENGAGE</v>
          </cell>
        </row>
        <row r="10">
          <cell r="F10" t="str">
            <v>WEAK</v>
          </cell>
          <cell r="G10">
            <v>0</v>
          </cell>
          <cell r="H10" t="str">
            <v>HIGH</v>
          </cell>
          <cell r="I10">
            <v>0</v>
          </cell>
          <cell r="J10" t="str">
            <v>NOT ENGAGE</v>
          </cell>
        </row>
        <row r="11">
          <cell r="F11" t="str">
            <v>WEAK</v>
          </cell>
          <cell r="G11">
            <v>0</v>
          </cell>
          <cell r="H11" t="str">
            <v>MEDIUM</v>
          </cell>
          <cell r="I11">
            <v>0.5</v>
          </cell>
          <cell r="J11" t="str">
            <v>NOT ENGAGE</v>
          </cell>
        </row>
        <row r="12">
          <cell r="F12" t="str">
            <v>WEAK</v>
          </cell>
          <cell r="G12">
            <v>0</v>
          </cell>
          <cell r="H12" t="str">
            <v>LOW</v>
          </cell>
          <cell r="I12">
            <v>1</v>
          </cell>
          <cell r="J12" t="str">
            <v>ENGAGE</v>
          </cell>
        </row>
        <row r="24">
          <cell r="B24">
            <v>2</v>
          </cell>
        </row>
      </sheetData>
      <sheetData sheetId="7">
        <row r="27">
          <cell r="B27" t="str">
            <v>ENGAGE</v>
          </cell>
          <cell r="C27" t="str">
            <v>DO NOT ENGAGE</v>
          </cell>
        </row>
        <row r="28">
          <cell r="B28" t="str">
            <v>The IP HAS the capacity and capability to undertake the project at the level foreseen in the IP and Donor Agreement</v>
          </cell>
          <cell r="C28" t="str">
            <v>The IP DOES NOT have the capacity and capability to undertake the project at the level foreseen in the IP and Donor Agreement</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5712-4EBF-43C7-9813-B385BFD97488}">
  <sheetPr>
    <pageSetUpPr fitToPage="1"/>
  </sheetPr>
  <dimension ref="A1:HF243"/>
  <sheetViews>
    <sheetView tabSelected="1" topLeftCell="A68" zoomScale="60" zoomScaleNormal="60" workbookViewId="0">
      <selection activeCell="B60" sqref="B60:B63"/>
    </sheetView>
  </sheetViews>
  <sheetFormatPr defaultRowHeight="14.5" x14ac:dyDescent="0.35"/>
  <cols>
    <col min="1" max="1" width="145.7265625" customWidth="1"/>
    <col min="2" max="2" width="79.81640625" style="89" customWidth="1"/>
    <col min="3" max="3" width="48.54296875" style="5" customWidth="1"/>
    <col min="4" max="4" width="46.81640625" style="5" customWidth="1"/>
    <col min="5" max="5" width="49.54296875" customWidth="1"/>
    <col min="6" max="6" width="20.453125" customWidth="1"/>
    <col min="7" max="8" width="9.81640625" customWidth="1"/>
    <col min="9" max="9" width="12.81640625" customWidth="1"/>
  </cols>
  <sheetData>
    <row r="1" spans="1:5" ht="60.65" customHeight="1" x14ac:dyDescent="0.35">
      <c r="A1" s="1" t="s">
        <v>0</v>
      </c>
      <c r="B1" s="1"/>
      <c r="C1" s="2"/>
      <c r="D1" s="2"/>
    </row>
    <row r="2" spans="1:5" ht="66" customHeight="1" x14ac:dyDescent="0.35">
      <c r="A2" s="3" t="s">
        <v>1</v>
      </c>
      <c r="B2" s="4"/>
    </row>
    <row r="3" spans="1:5" ht="15.5" x14ac:dyDescent="0.35">
      <c r="A3" s="6" t="s">
        <v>2</v>
      </c>
      <c r="B3" s="7"/>
      <c r="D3" s="5" t="s">
        <v>3</v>
      </c>
    </row>
    <row r="4" spans="1:5" ht="15.5" x14ac:dyDescent="0.35">
      <c r="A4" s="6" t="s">
        <v>4</v>
      </c>
      <c r="B4" s="7"/>
    </row>
    <row r="5" spans="1:5" ht="15.5" x14ac:dyDescent="0.35">
      <c r="A5" s="6" t="s">
        <v>5</v>
      </c>
      <c r="B5" s="8"/>
    </row>
    <row r="6" spans="1:5" ht="15.5" x14ac:dyDescent="0.35">
      <c r="A6" s="6" t="s">
        <v>6</v>
      </c>
      <c r="B6" s="9"/>
    </row>
    <row r="7" spans="1:5" ht="15.5" x14ac:dyDescent="0.35">
      <c r="A7" s="6" t="s">
        <v>7</v>
      </c>
      <c r="B7" s="10"/>
    </row>
    <row r="8" spans="1:5" ht="15.5" x14ac:dyDescent="0.35">
      <c r="A8" s="6" t="s">
        <v>8</v>
      </c>
      <c r="B8" s="11"/>
    </row>
    <row r="9" spans="1:5" ht="15.5" x14ac:dyDescent="0.35">
      <c r="A9" s="6" t="s">
        <v>9</v>
      </c>
      <c r="B9" s="10"/>
    </row>
    <row r="10" spans="1:5" ht="15.5" x14ac:dyDescent="0.35">
      <c r="A10" s="6" t="s">
        <v>10</v>
      </c>
      <c r="B10" s="10"/>
    </row>
    <row r="11" spans="1:5" ht="15.5" x14ac:dyDescent="0.35">
      <c r="A11" s="12"/>
      <c r="B11" s="13"/>
    </row>
    <row r="12" spans="1:5" s="17" customFormat="1" ht="35.5" customHeight="1" x14ac:dyDescent="0.35">
      <c r="A12" s="14" t="s">
        <v>11</v>
      </c>
      <c r="B12" s="15" t="s">
        <v>12</v>
      </c>
      <c r="C12" s="15" t="s">
        <v>13</v>
      </c>
      <c r="D12" s="16" t="s">
        <v>14</v>
      </c>
    </row>
    <row r="13" spans="1:5" s="23" customFormat="1" ht="31" x14ac:dyDescent="0.35">
      <c r="A13" s="18" t="s">
        <v>15</v>
      </c>
      <c r="B13" s="19"/>
      <c r="C13" s="20" t="b">
        <f>IF(B13="YES","Continue to next part",IF(B13="NO","Either stop the assessment or Provide comments on how this can be justified or managed before going forward"))</f>
        <v>0</v>
      </c>
      <c r="D13" s="21" t="s">
        <v>16</v>
      </c>
      <c r="E13" s="22" t="s">
        <v>17</v>
      </c>
    </row>
    <row r="14" spans="1:5" s="23" customFormat="1" ht="41.5" customHeight="1" x14ac:dyDescent="0.35">
      <c r="A14" s="18" t="s">
        <v>18</v>
      </c>
      <c r="B14" s="19"/>
      <c r="C14" s="20" t="b">
        <f>IF(B14="YES","This organization cannot be an IOM Partner. No further asessment should be performed",IF(B14="NO","Continue to next question"))</f>
        <v>0</v>
      </c>
      <c r="D14" s="24"/>
      <c r="E14" s="22" t="s">
        <v>17</v>
      </c>
    </row>
    <row r="15" spans="1:5" s="23" customFormat="1" ht="61" customHeight="1" x14ac:dyDescent="0.35">
      <c r="A15" s="25" t="s">
        <v>19</v>
      </c>
      <c r="B15" s="19"/>
      <c r="C15" s="20" t="b">
        <f>IF(B15="Yes - neutrality concerns found - not manageable","This organization cannot be an IOM Partner. No further asessment should be performed",IF(B15="Yes - neutrality concerns found - manageable","Provide comments on how this can be managed before going forward",IF(B15="No neutrality concerns found","Continue to next question")))</f>
        <v>0</v>
      </c>
      <c r="D15" s="24"/>
      <c r="E15" s="22" t="s">
        <v>20</v>
      </c>
    </row>
    <row r="16" spans="1:5" s="23" customFormat="1" ht="46.5" customHeight="1" x14ac:dyDescent="0.35">
      <c r="A16" s="26" t="s">
        <v>21</v>
      </c>
      <c r="B16" s="27"/>
      <c r="C16" s="28" t="b">
        <f>IF(B16="Evidence of fraud and/or conflicts found - not manageable","Stop! This organization cannot be an IOM Partner. No further asessment should be performed",IF(B16="Evidence of fraud and/or conflicts found - manageable","Provide comments on how this can be managed before going forward",IF(B16="No evidence of fraud or conflicts found","Continue to next question")))</f>
        <v>0</v>
      </c>
      <c r="D16" s="29"/>
      <c r="E16" s="22" t="s">
        <v>22</v>
      </c>
    </row>
    <row r="17" spans="1:21" s="23" customFormat="1" ht="21.5" thickBot="1" x14ac:dyDescent="0.4">
      <c r="A17" s="30" t="s">
        <v>23</v>
      </c>
      <c r="B17" s="31"/>
      <c r="C17" s="32"/>
      <c r="D17" s="32"/>
      <c r="E17" s="22"/>
    </row>
    <row r="18" spans="1:21" s="23" customFormat="1" ht="18.75" customHeight="1" thickBot="1" x14ac:dyDescent="0.4">
      <c r="A18" s="33" t="s">
        <v>24</v>
      </c>
      <c r="B18" s="34" t="s">
        <v>25</v>
      </c>
      <c r="C18" s="32"/>
      <c r="E18" s="22"/>
      <c r="G18" s="35"/>
    </row>
    <row r="19" spans="1:21" s="23" customFormat="1" ht="15.5" x14ac:dyDescent="0.35">
      <c r="A19" s="36" t="s">
        <v>26</v>
      </c>
      <c r="B19" s="37"/>
      <c r="C19" s="32"/>
      <c r="D19" s="35"/>
      <c r="E19" s="22" t="s">
        <v>17</v>
      </c>
    </row>
    <row r="20" spans="1:21" s="23" customFormat="1" ht="18.75" customHeight="1" x14ac:dyDescent="0.35">
      <c r="A20" s="36" t="s">
        <v>27</v>
      </c>
      <c r="B20" s="37"/>
      <c r="C20" s="38"/>
      <c r="D20" s="39"/>
      <c r="E20" s="22" t="s">
        <v>17</v>
      </c>
    </row>
    <row r="21" spans="1:21" s="23" customFormat="1" ht="15.5" x14ac:dyDescent="0.35">
      <c r="A21" s="36" t="s">
        <v>28</v>
      </c>
      <c r="B21" s="37"/>
      <c r="C21" s="38"/>
      <c r="E21" s="22" t="s">
        <v>17</v>
      </c>
    </row>
    <row r="22" spans="1:21" s="23" customFormat="1" ht="18.75" customHeight="1" x14ac:dyDescent="0.35">
      <c r="A22" s="36" t="s">
        <v>29</v>
      </c>
      <c r="B22" s="37"/>
      <c r="C22" s="40"/>
      <c r="E22" s="22" t="s">
        <v>30</v>
      </c>
    </row>
    <row r="23" spans="1:21" s="23" customFormat="1" ht="26" customHeight="1" thickBot="1" x14ac:dyDescent="0.4">
      <c r="A23" s="36" t="s">
        <v>31</v>
      </c>
      <c r="B23" s="37"/>
      <c r="C23" s="32"/>
      <c r="E23" s="22" t="s">
        <v>32</v>
      </c>
    </row>
    <row r="24" spans="1:21" s="23" customFormat="1" ht="16" thickBot="1" x14ac:dyDescent="0.4">
      <c r="A24" s="36" t="s">
        <v>33</v>
      </c>
      <c r="B24" s="41"/>
      <c r="C24" s="35" t="s">
        <v>34</v>
      </c>
      <c r="E24" s="22" t="s">
        <v>35</v>
      </c>
    </row>
    <row r="25" spans="1:21" s="23" customFormat="1" ht="16" thickBot="1" x14ac:dyDescent="0.4">
      <c r="A25" s="36" t="s">
        <v>36</v>
      </c>
      <c r="B25" s="41"/>
      <c r="C25" s="35" t="s">
        <v>34</v>
      </c>
      <c r="E25" s="22" t="s">
        <v>35</v>
      </c>
    </row>
    <row r="26" spans="1:21" s="23" customFormat="1" ht="15.5" x14ac:dyDescent="0.35">
      <c r="A26" s="36" t="s">
        <v>37</v>
      </c>
      <c r="B26" s="37"/>
      <c r="C26" s="32"/>
      <c r="E26" s="22" t="s">
        <v>38</v>
      </c>
    </row>
    <row r="27" spans="1:21" s="23" customFormat="1" ht="29.15" customHeight="1" x14ac:dyDescent="0.35">
      <c r="A27" s="42" t="s">
        <v>39</v>
      </c>
      <c r="B27" s="43"/>
      <c r="C27" s="32"/>
      <c r="D27" s="32"/>
      <c r="E27" s="22"/>
      <c r="S27" s="23" t="s">
        <v>40</v>
      </c>
      <c r="T27" s="32" t="s">
        <v>41</v>
      </c>
      <c r="U27" s="23" t="s">
        <v>42</v>
      </c>
    </row>
    <row r="28" spans="1:21" s="23" customFormat="1" ht="15.5" x14ac:dyDescent="0.35">
      <c r="A28" s="44" t="s">
        <v>43</v>
      </c>
      <c r="B28" s="45"/>
      <c r="C28" s="32"/>
      <c r="D28" s="32"/>
      <c r="E28" s="22"/>
      <c r="T28" s="32"/>
    </row>
    <row r="29" spans="1:21" s="23" customFormat="1" ht="15.5" x14ac:dyDescent="0.35">
      <c r="A29" s="46" t="s">
        <v>44</v>
      </c>
      <c r="B29" s="47"/>
      <c r="C29" s="48"/>
      <c r="D29" s="35"/>
      <c r="E29" s="22" t="s">
        <v>17</v>
      </c>
      <c r="H29" s="35"/>
      <c r="S29" s="23" t="s">
        <v>45</v>
      </c>
      <c r="T29" s="49">
        <v>10</v>
      </c>
      <c r="U29" s="23">
        <f>(IF(B29="yes",1,0))*T29</f>
        <v>0</v>
      </c>
    </row>
    <row r="30" spans="1:21" s="23" customFormat="1" ht="15.5" x14ac:dyDescent="0.35">
      <c r="A30" s="50" t="s">
        <v>46</v>
      </c>
      <c r="B30" s="47"/>
      <c r="C30" s="51"/>
      <c r="D30" s="39"/>
      <c r="E30" s="22" t="s">
        <v>47</v>
      </c>
      <c r="H30" s="39"/>
      <c r="S30" s="23" t="s">
        <v>45</v>
      </c>
      <c r="T30" s="32">
        <v>25</v>
      </c>
      <c r="U30" s="23">
        <f>(IF(B30="yes",1,0))*T30</f>
        <v>0</v>
      </c>
    </row>
    <row r="31" spans="1:21" s="23" customFormat="1" ht="42.5" customHeight="1" x14ac:dyDescent="0.35">
      <c r="A31" s="50" t="s">
        <v>48</v>
      </c>
      <c r="B31" s="47"/>
      <c r="C31" s="52"/>
      <c r="D31" s="32"/>
      <c r="E31" s="22" t="s">
        <v>49</v>
      </c>
      <c r="H31" s="39"/>
      <c r="S31" s="23" t="s">
        <v>45</v>
      </c>
      <c r="T31" s="32">
        <v>25</v>
      </c>
      <c r="U31" s="23">
        <f>(IF(B31="yes",1,0))*T31</f>
        <v>0</v>
      </c>
    </row>
    <row r="32" spans="1:21" s="23" customFormat="1" ht="27" customHeight="1" x14ac:dyDescent="0.35">
      <c r="A32" s="53" t="s">
        <v>50</v>
      </c>
      <c r="B32" s="47"/>
      <c r="C32" s="32"/>
      <c r="D32" s="39"/>
      <c r="E32" s="22" t="s">
        <v>51</v>
      </c>
      <c r="S32" s="23" t="s">
        <v>45</v>
      </c>
      <c r="T32" s="32">
        <v>25</v>
      </c>
      <c r="U32" s="23">
        <f>(IF(B32="yes",1,0))*T32</f>
        <v>0</v>
      </c>
    </row>
    <row r="33" spans="1:21" s="23" customFormat="1" ht="31" x14ac:dyDescent="0.35">
      <c r="A33" s="54" t="s">
        <v>52</v>
      </c>
      <c r="B33" s="47"/>
      <c r="C33" s="52"/>
      <c r="D33" s="35"/>
      <c r="E33" s="22" t="s">
        <v>53</v>
      </c>
      <c r="H33" s="35"/>
      <c r="S33" s="23" t="s">
        <v>45</v>
      </c>
      <c r="T33" s="32">
        <v>15</v>
      </c>
      <c r="U33" s="23">
        <f>(IF(B33="yes",1,0))*T33</f>
        <v>0</v>
      </c>
    </row>
    <row r="34" spans="1:21" s="23" customFormat="1" ht="15.5" x14ac:dyDescent="0.35">
      <c r="A34" s="44" t="s">
        <v>54</v>
      </c>
      <c r="B34" s="45"/>
      <c r="D34" s="39"/>
      <c r="E34" s="22"/>
      <c r="H34" s="39"/>
    </row>
    <row r="35" spans="1:21" s="23" customFormat="1" ht="15.5" x14ac:dyDescent="0.35">
      <c r="A35" s="55" t="s">
        <v>55</v>
      </c>
      <c r="B35" s="56"/>
      <c r="C35" s="32"/>
      <c r="D35" s="32"/>
      <c r="E35" s="22"/>
      <c r="T35" s="32"/>
    </row>
    <row r="36" spans="1:21" s="23" customFormat="1" ht="15.5" x14ac:dyDescent="0.35">
      <c r="A36" s="50" t="s">
        <v>56</v>
      </c>
      <c r="B36" s="47"/>
      <c r="C36" s="52"/>
      <c r="D36" s="32"/>
      <c r="E36" s="22" t="s">
        <v>57</v>
      </c>
      <c r="S36" s="23" t="s">
        <v>58</v>
      </c>
      <c r="T36" s="32">
        <v>25</v>
      </c>
      <c r="U36" s="23">
        <f>(IF(B36="yes",1,0))*T36</f>
        <v>0</v>
      </c>
    </row>
    <row r="37" spans="1:21" s="23" customFormat="1" ht="15.5" x14ac:dyDescent="0.35">
      <c r="A37" s="50" t="s">
        <v>59</v>
      </c>
      <c r="B37" s="47"/>
      <c r="C37" s="52"/>
      <c r="D37" s="32"/>
      <c r="E37" s="22" t="s">
        <v>60</v>
      </c>
      <c r="S37" s="23" t="s">
        <v>58</v>
      </c>
      <c r="T37" s="32">
        <v>25</v>
      </c>
      <c r="U37" s="23">
        <f>(IF(B37="yes",1,0))*T37</f>
        <v>0</v>
      </c>
    </row>
    <row r="38" spans="1:21" s="23" customFormat="1" ht="15.5" x14ac:dyDescent="0.35">
      <c r="A38" s="50" t="s">
        <v>61</v>
      </c>
      <c r="B38" s="47"/>
      <c r="C38" s="57"/>
      <c r="D38" s="32"/>
      <c r="E38" s="22" t="s">
        <v>62</v>
      </c>
      <c r="S38" s="23" t="s">
        <v>58</v>
      </c>
      <c r="T38" s="32">
        <v>25</v>
      </c>
      <c r="U38" s="23">
        <f>(IF(B38="yes",1,0))*T38</f>
        <v>0</v>
      </c>
    </row>
    <row r="39" spans="1:21" s="23" customFormat="1" ht="31" x14ac:dyDescent="0.35">
      <c r="A39" s="50" t="s">
        <v>63</v>
      </c>
      <c r="B39" s="47"/>
      <c r="C39" s="58"/>
      <c r="D39" s="32"/>
      <c r="E39" s="22" t="s">
        <v>64</v>
      </c>
      <c r="S39" s="23" t="s">
        <v>58</v>
      </c>
      <c r="T39" s="32">
        <v>25</v>
      </c>
      <c r="U39" s="23">
        <f>(IF(B39="yes",1,0))*T39</f>
        <v>0</v>
      </c>
    </row>
    <row r="40" spans="1:21" s="23" customFormat="1" ht="15.5" x14ac:dyDescent="0.35">
      <c r="A40" s="59" t="s">
        <v>39</v>
      </c>
      <c r="B40" s="43"/>
      <c r="C40" s="32"/>
      <c r="D40" s="32"/>
      <c r="E40" s="22"/>
      <c r="T40" s="32"/>
    </row>
    <row r="41" spans="1:21" s="23" customFormat="1" ht="15.5" x14ac:dyDescent="0.35">
      <c r="A41" s="44" t="s">
        <v>65</v>
      </c>
      <c r="B41" s="45"/>
      <c r="C41" s="32"/>
      <c r="D41" s="32"/>
      <c r="E41" s="22"/>
      <c r="T41" s="32"/>
    </row>
    <row r="42" spans="1:21" s="23" customFormat="1" ht="15.5" x14ac:dyDescent="0.35">
      <c r="A42" s="55" t="s">
        <v>66</v>
      </c>
      <c r="B42" s="60"/>
      <c r="C42" s="32"/>
      <c r="D42" s="32"/>
      <c r="E42" s="22"/>
      <c r="T42" s="32"/>
    </row>
    <row r="43" spans="1:21" s="23" customFormat="1" ht="15.5" x14ac:dyDescent="0.35">
      <c r="A43" s="61" t="s">
        <v>67</v>
      </c>
      <c r="B43" s="62"/>
      <c r="C43" s="57"/>
      <c r="D43" s="32"/>
      <c r="E43" s="22" t="s">
        <v>68</v>
      </c>
      <c r="S43" s="23" t="s">
        <v>69</v>
      </c>
      <c r="T43" s="32">
        <v>30</v>
      </c>
      <c r="U43" s="23">
        <f t="shared" ref="U43:U48" si="0">(IF(B43="yes",1,0))*T43</f>
        <v>0</v>
      </c>
    </row>
    <row r="44" spans="1:21" s="23" customFormat="1" ht="15.5" x14ac:dyDescent="0.35">
      <c r="A44" s="50" t="s">
        <v>70</v>
      </c>
      <c r="B44" s="47"/>
      <c r="C44" s="57"/>
      <c r="D44" s="35"/>
      <c r="E44" s="22" t="s">
        <v>71</v>
      </c>
      <c r="H44" s="35"/>
      <c r="S44" s="23" t="s">
        <v>69</v>
      </c>
      <c r="T44" s="32">
        <v>10</v>
      </c>
      <c r="U44" s="23">
        <f t="shared" si="0"/>
        <v>0</v>
      </c>
    </row>
    <row r="45" spans="1:21" s="23" customFormat="1" ht="15.5" x14ac:dyDescent="0.35">
      <c r="A45" s="50" t="s">
        <v>72</v>
      </c>
      <c r="B45" s="47"/>
      <c r="C45" s="52"/>
      <c r="D45" s="39" t="s">
        <v>73</v>
      </c>
      <c r="E45" s="22" t="s">
        <v>74</v>
      </c>
      <c r="H45" s="39"/>
      <c r="S45" s="23" t="s">
        <v>69</v>
      </c>
      <c r="T45" s="32">
        <v>10</v>
      </c>
      <c r="U45" s="23">
        <f t="shared" si="0"/>
        <v>0</v>
      </c>
    </row>
    <row r="46" spans="1:21" s="23" customFormat="1" ht="15.5" x14ac:dyDescent="0.35">
      <c r="A46" s="50" t="s">
        <v>75</v>
      </c>
      <c r="B46" s="47"/>
      <c r="C46" s="57"/>
      <c r="D46" s="39"/>
      <c r="E46" s="22" t="s">
        <v>76</v>
      </c>
      <c r="H46" s="39"/>
      <c r="S46" s="23" t="s">
        <v>69</v>
      </c>
      <c r="T46" s="32">
        <v>10</v>
      </c>
      <c r="U46" s="23">
        <f t="shared" si="0"/>
        <v>0</v>
      </c>
    </row>
    <row r="47" spans="1:21" s="23" customFormat="1" ht="15.5" x14ac:dyDescent="0.35">
      <c r="A47" s="50" t="s">
        <v>77</v>
      </c>
      <c r="B47" s="47"/>
      <c r="C47" s="57"/>
      <c r="D47" s="63"/>
      <c r="E47" s="22" t="s">
        <v>78</v>
      </c>
      <c r="F47" s="63"/>
      <c r="G47" s="63"/>
      <c r="H47" s="63"/>
      <c r="I47" s="63"/>
      <c r="J47" s="63"/>
      <c r="K47" s="63"/>
      <c r="L47" s="63"/>
      <c r="M47" s="63"/>
      <c r="N47" s="63"/>
      <c r="S47" s="23" t="s">
        <v>69</v>
      </c>
      <c r="T47" s="32">
        <v>15</v>
      </c>
      <c r="U47" s="23">
        <f t="shared" si="0"/>
        <v>0</v>
      </c>
    </row>
    <row r="48" spans="1:21" s="23" customFormat="1" ht="15.5" x14ac:dyDescent="0.35">
      <c r="A48" s="50" t="s">
        <v>79</v>
      </c>
      <c r="B48" s="47"/>
      <c r="C48" s="57"/>
      <c r="D48" s="63"/>
      <c r="E48" s="22" t="s">
        <v>80</v>
      </c>
      <c r="F48" s="63"/>
      <c r="G48" s="63"/>
      <c r="H48" s="63"/>
      <c r="I48" s="63"/>
      <c r="J48" s="63"/>
      <c r="K48" s="63"/>
      <c r="L48" s="63"/>
      <c r="M48" s="63"/>
      <c r="N48" s="63"/>
      <c r="S48" s="23" t="s">
        <v>69</v>
      </c>
      <c r="T48" s="32">
        <v>25</v>
      </c>
      <c r="U48" s="23">
        <f t="shared" si="0"/>
        <v>0</v>
      </c>
    </row>
    <row r="49" spans="1:21" s="23" customFormat="1" ht="15.5" x14ac:dyDescent="0.35">
      <c r="A49" s="59" t="s">
        <v>39</v>
      </c>
      <c r="B49" s="43"/>
      <c r="C49" s="32"/>
      <c r="D49" s="63"/>
      <c r="E49" s="22"/>
      <c r="F49" s="63"/>
      <c r="G49" s="63"/>
      <c r="H49" s="63"/>
      <c r="I49" s="63"/>
      <c r="J49" s="63"/>
      <c r="K49" s="63"/>
      <c r="L49" s="63"/>
      <c r="M49" s="63"/>
      <c r="N49" s="63"/>
      <c r="T49" s="32"/>
    </row>
    <row r="50" spans="1:21" s="23" customFormat="1" ht="15.5" x14ac:dyDescent="0.35">
      <c r="A50" s="44" t="s">
        <v>81</v>
      </c>
      <c r="B50" s="64"/>
      <c r="C50" s="32"/>
      <c r="D50" s="63"/>
      <c r="E50" s="22"/>
      <c r="F50" s="63"/>
      <c r="G50" s="63"/>
      <c r="H50" s="63"/>
      <c r="I50" s="63"/>
      <c r="J50" s="63"/>
      <c r="K50" s="63"/>
      <c r="L50" s="63"/>
      <c r="M50" s="63"/>
      <c r="N50" s="63"/>
      <c r="T50" s="32"/>
    </row>
    <row r="51" spans="1:21" s="23" customFormat="1" ht="15.5" x14ac:dyDescent="0.35">
      <c r="A51" s="65" t="s">
        <v>82</v>
      </c>
      <c r="B51" s="47"/>
      <c r="C51" s="35" t="s">
        <v>34</v>
      </c>
      <c r="D51" s="32"/>
      <c r="E51" s="22" t="s">
        <v>83</v>
      </c>
      <c r="S51" s="23" t="s">
        <v>84</v>
      </c>
      <c r="T51" s="32">
        <v>15</v>
      </c>
      <c r="U51" s="23">
        <f t="shared" ref="U51:U57" si="1">(IF(B51="yes",1,0))*T51</f>
        <v>0</v>
      </c>
    </row>
    <row r="52" spans="1:21" s="23" customFormat="1" ht="15.5" x14ac:dyDescent="0.35">
      <c r="A52" s="50" t="s">
        <v>85</v>
      </c>
      <c r="B52" s="47"/>
      <c r="C52" s="35" t="s">
        <v>34</v>
      </c>
      <c r="D52" s="32"/>
      <c r="E52" s="22" t="s">
        <v>83</v>
      </c>
      <c r="S52" s="23" t="s">
        <v>84</v>
      </c>
      <c r="T52" s="32">
        <v>15</v>
      </c>
      <c r="U52" s="23">
        <f t="shared" si="1"/>
        <v>0</v>
      </c>
    </row>
    <row r="53" spans="1:21" s="23" customFormat="1" ht="15.5" x14ac:dyDescent="0.35">
      <c r="A53" s="50" t="s">
        <v>86</v>
      </c>
      <c r="B53" s="47"/>
      <c r="C53" s="35" t="s">
        <v>34</v>
      </c>
      <c r="D53" s="39"/>
      <c r="E53" s="22" t="s">
        <v>83</v>
      </c>
      <c r="H53" s="39"/>
      <c r="S53" s="23" t="s">
        <v>84</v>
      </c>
      <c r="T53" s="32">
        <v>15</v>
      </c>
      <c r="U53" s="23">
        <f t="shared" si="1"/>
        <v>0</v>
      </c>
    </row>
    <row r="54" spans="1:21" s="23" customFormat="1" ht="15.5" x14ac:dyDescent="0.35">
      <c r="A54" s="50" t="s">
        <v>87</v>
      </c>
      <c r="B54" s="47"/>
      <c r="C54"/>
      <c r="D54" s="66"/>
      <c r="E54" s="22" t="s">
        <v>83</v>
      </c>
      <c r="H54" s="39"/>
      <c r="S54" s="23" t="s">
        <v>84</v>
      </c>
      <c r="T54" s="32">
        <v>15</v>
      </c>
      <c r="U54" s="23">
        <f t="shared" si="1"/>
        <v>0</v>
      </c>
    </row>
    <row r="55" spans="1:21" s="23" customFormat="1" ht="15.5" x14ac:dyDescent="0.35">
      <c r="A55" s="50" t="s">
        <v>88</v>
      </c>
      <c r="B55" s="47"/>
      <c r="C55" s="35" t="s">
        <v>34</v>
      </c>
      <c r="D55" s="32"/>
      <c r="E55" s="22" t="s">
        <v>83</v>
      </c>
      <c r="S55" s="23" t="s">
        <v>84</v>
      </c>
      <c r="T55" s="32">
        <v>15</v>
      </c>
      <c r="U55" s="23">
        <f t="shared" si="1"/>
        <v>0</v>
      </c>
    </row>
    <row r="56" spans="1:21" s="23" customFormat="1" ht="15.5" x14ac:dyDescent="0.35">
      <c r="A56" s="50" t="s">
        <v>89</v>
      </c>
      <c r="B56" s="47"/>
      <c r="C56" s="35" t="s">
        <v>34</v>
      </c>
      <c r="D56" s="32"/>
      <c r="E56" s="22" t="s">
        <v>83</v>
      </c>
      <c r="S56" s="23" t="s">
        <v>84</v>
      </c>
      <c r="T56" s="32">
        <v>10</v>
      </c>
      <c r="U56" s="23">
        <f t="shared" si="1"/>
        <v>0</v>
      </c>
    </row>
    <row r="57" spans="1:21" s="23" customFormat="1" ht="31" x14ac:dyDescent="0.35">
      <c r="A57" s="50" t="s">
        <v>90</v>
      </c>
      <c r="B57" s="47"/>
      <c r="C57" s="35" t="s">
        <v>34</v>
      </c>
      <c r="D57" s="35"/>
      <c r="E57" s="22" t="s">
        <v>83</v>
      </c>
      <c r="H57" s="35"/>
      <c r="S57" s="23" t="s">
        <v>84</v>
      </c>
      <c r="T57" s="32">
        <v>15</v>
      </c>
      <c r="U57" s="23">
        <f t="shared" si="1"/>
        <v>0</v>
      </c>
    </row>
    <row r="58" spans="1:21" s="23" customFormat="1" ht="66" customHeight="1" x14ac:dyDescent="0.35">
      <c r="A58" s="59" t="s">
        <v>91</v>
      </c>
      <c r="B58" s="67"/>
      <c r="C58" s="35" t="s">
        <v>34</v>
      </c>
      <c r="D58" s="39"/>
      <c r="E58" s="22" t="s">
        <v>83</v>
      </c>
      <c r="H58" s="39"/>
      <c r="T58" s="32"/>
    </row>
    <row r="59" spans="1:21" s="23" customFormat="1" ht="15.5" x14ac:dyDescent="0.35">
      <c r="A59" s="44" t="s">
        <v>92</v>
      </c>
      <c r="B59" s="64"/>
      <c r="C59" s="32"/>
      <c r="D59" s="32"/>
      <c r="E59" s="22" t="s">
        <v>83</v>
      </c>
      <c r="T59" s="32"/>
    </row>
    <row r="60" spans="1:21" s="23" customFormat="1" ht="15.5" x14ac:dyDescent="0.35">
      <c r="A60" s="53" t="s">
        <v>93</v>
      </c>
      <c r="B60" s="47"/>
      <c r="C60" s="35" t="s">
        <v>34</v>
      </c>
      <c r="D60" s="35"/>
      <c r="E60" s="22" t="s">
        <v>83</v>
      </c>
      <c r="H60" s="35"/>
      <c r="S60" s="23" t="s">
        <v>94</v>
      </c>
      <c r="T60" s="32">
        <v>50</v>
      </c>
      <c r="U60" s="23">
        <f>(IF(B60="yes",1,0))*T60</f>
        <v>0</v>
      </c>
    </row>
    <row r="61" spans="1:21" s="23" customFormat="1" ht="15.5" x14ac:dyDescent="0.35">
      <c r="A61" s="53" t="s">
        <v>95</v>
      </c>
      <c r="B61" s="47"/>
      <c r="C61" s="35" t="s">
        <v>34</v>
      </c>
      <c r="D61" s="39"/>
      <c r="E61" s="22" t="s">
        <v>83</v>
      </c>
      <c r="H61" s="39"/>
      <c r="S61" s="23" t="s">
        <v>94</v>
      </c>
      <c r="T61" s="32">
        <v>25</v>
      </c>
      <c r="U61" s="23">
        <f>(IF(B61="yes",1,0))*T61</f>
        <v>0</v>
      </c>
    </row>
    <row r="62" spans="1:21" s="23" customFormat="1" ht="15.5" x14ac:dyDescent="0.35">
      <c r="A62" s="54" t="s">
        <v>96</v>
      </c>
      <c r="B62" s="47"/>
      <c r="C62" s="35" t="s">
        <v>34</v>
      </c>
      <c r="D62" s="39"/>
      <c r="E62" s="22" t="s">
        <v>83</v>
      </c>
      <c r="H62" s="39"/>
      <c r="S62" s="23" t="s">
        <v>94</v>
      </c>
      <c r="T62" s="32">
        <v>25</v>
      </c>
      <c r="U62" s="23">
        <f>(IF(B62="yes",1,0))*T62</f>
        <v>0</v>
      </c>
    </row>
    <row r="63" spans="1:21" s="23" customFormat="1" ht="54" customHeight="1" x14ac:dyDescent="0.35">
      <c r="A63" s="59" t="s">
        <v>97</v>
      </c>
      <c r="B63" s="43"/>
      <c r="C63" s="35" t="s">
        <v>34</v>
      </c>
      <c r="E63" s="22" t="s">
        <v>83</v>
      </c>
    </row>
    <row r="64" spans="1:21" s="23" customFormat="1" x14ac:dyDescent="0.35">
      <c r="A64" s="68"/>
      <c r="B64" s="69"/>
      <c r="C64" s="32"/>
      <c r="E64" s="22"/>
    </row>
    <row r="65" spans="1:21" s="23" customFormat="1" ht="15.65" customHeight="1" x14ac:dyDescent="0.35">
      <c r="A65" s="70" t="s">
        <v>98</v>
      </c>
      <c r="B65" s="71" t="s">
        <v>99</v>
      </c>
      <c r="C65" s="17" t="s">
        <v>42</v>
      </c>
      <c r="D65" s="39"/>
      <c r="E65" s="22"/>
      <c r="J65" s="72"/>
      <c r="K65" s="72"/>
      <c r="S65" s="72"/>
      <c r="T65" s="72"/>
      <c r="U65" s="72"/>
    </row>
    <row r="66" spans="1:21" s="23" customFormat="1" ht="15.5" x14ac:dyDescent="0.35">
      <c r="A66" s="73" t="str">
        <f>A28</f>
        <v>A. GOVERNANCE, EXTERNAL ENGAGEMENT AND INFLUENCE</v>
      </c>
      <c r="B66" s="23" t="str">
        <f>IF(C66&gt;100,"ERROR (Score beyond 100)",IF(C66&gt;79,"STRONG",IF(C66&gt;49,"FAIR","WEAK")))</f>
        <v>WEAK</v>
      </c>
      <c r="C66" s="74">
        <f>SUMIF(S:S,LEFT(A66,1),U:U)</f>
        <v>0</v>
      </c>
      <c r="D66" s="75"/>
      <c r="E66" s="76"/>
      <c r="J66" s="72"/>
      <c r="K66" s="72"/>
      <c r="S66" s="72"/>
      <c r="T66" s="72"/>
      <c r="U66" s="72"/>
    </row>
    <row r="67" spans="1:21" s="23" customFormat="1" ht="15.5" x14ac:dyDescent="0.35">
      <c r="A67" s="77" t="str">
        <f>A34</f>
        <v>B. PROGRAMMATIC CAPACITY</v>
      </c>
      <c r="B67" s="23" t="str">
        <f t="shared" ref="B67:B70" si="2">IF(C67&gt;100,"ERROR (Score beyond 100)",IF(C67&gt;79,"STRONG",IF(C67&gt;49,"FAIR","WEAK")))</f>
        <v>WEAK</v>
      </c>
      <c r="C67" s="74">
        <f>SUMIF(S:S,LEFT(A67,1),U:U)</f>
        <v>0</v>
      </c>
      <c r="D67" s="75"/>
      <c r="E67" s="76"/>
      <c r="J67" s="72"/>
      <c r="K67" s="72"/>
      <c r="S67" s="72"/>
      <c r="T67" s="72"/>
      <c r="U67" s="72"/>
    </row>
    <row r="68" spans="1:21" s="23" customFormat="1" ht="15.5" x14ac:dyDescent="0.35">
      <c r="A68" s="77" t="str">
        <f>A41</f>
        <v>C. OPERATIONAL CAPACITY</v>
      </c>
      <c r="B68" s="23" t="str">
        <f t="shared" si="2"/>
        <v>WEAK</v>
      </c>
      <c r="C68" s="74">
        <f>SUMIF(S:S,LEFT(A68,1),U:U)</f>
        <v>0</v>
      </c>
      <c r="D68" s="75"/>
      <c r="E68" s="76"/>
      <c r="J68" s="72"/>
      <c r="K68" s="72"/>
      <c r="S68" s="72"/>
      <c r="T68" s="72"/>
      <c r="U68" s="72"/>
    </row>
    <row r="69" spans="1:21" s="23" customFormat="1" ht="15.5" x14ac:dyDescent="0.35">
      <c r="A69" s="77" t="str">
        <f>A50</f>
        <v>D. FINANCIAL CAPACITY AND ACCOUNTING SYSTEM</v>
      </c>
      <c r="B69" s="23" t="str">
        <f t="shared" si="2"/>
        <v>WEAK</v>
      </c>
      <c r="C69" s="74">
        <f>SUMIF(S:S,LEFT(A69,1),U:U)</f>
        <v>0</v>
      </c>
      <c r="D69" s="75"/>
      <c r="E69" s="76"/>
      <c r="J69" s="72"/>
      <c r="K69" s="72"/>
      <c r="S69" s="72"/>
      <c r="T69" s="72"/>
      <c r="U69" s="72"/>
    </row>
    <row r="70" spans="1:21" s="23" customFormat="1" ht="16" thickBot="1" x14ac:dyDescent="0.4">
      <c r="A70" s="77" t="str">
        <f>A59</f>
        <v>E. SUPPLY CHAIN CAPACITY</v>
      </c>
      <c r="B70" s="23" t="str">
        <f t="shared" si="2"/>
        <v>WEAK</v>
      </c>
      <c r="C70" s="74">
        <f>SUMIF(S:S,LEFT(A70,1),U:U)</f>
        <v>0</v>
      </c>
      <c r="D70" s="32" t="s">
        <v>100</v>
      </c>
      <c r="E70" s="76"/>
      <c r="J70" s="72"/>
      <c r="K70" s="72"/>
      <c r="S70" s="72"/>
      <c r="T70" s="72"/>
      <c r="U70" s="72"/>
    </row>
    <row r="71" spans="1:21" s="23" customFormat="1" ht="15.5" x14ac:dyDescent="0.35">
      <c r="A71" s="78" t="s">
        <v>101</v>
      </c>
      <c r="B71" s="79" t="str">
        <f>IF(C71&gt;500,"ERROR (Score beyond 500)",IF(C71&gt;399,"STRONG",IF(C71&gt;299,"FAIR","WEAK")))</f>
        <v>WEAK</v>
      </c>
      <c r="C71" s="74">
        <f>SUM(C66:C70)</f>
        <v>0</v>
      </c>
      <c r="D71" s="32">
        <f>500*80%</f>
        <v>400</v>
      </c>
      <c r="E71" s="76"/>
      <c r="J71" s="72"/>
      <c r="K71" s="72"/>
      <c r="S71" s="72"/>
      <c r="T71" s="72"/>
      <c r="U71" s="72"/>
    </row>
    <row r="72" spans="1:21" s="23" customFormat="1" ht="16" thickBot="1" x14ac:dyDescent="0.4">
      <c r="A72" s="80" t="s">
        <v>102</v>
      </c>
      <c r="B72" s="81" t="str">
        <f>IF([1]Ratings!B24&lt;1.5,[1]Ratings!B1,IF(AND([1]Ratings!B24&gt;=1.5,[1]Ratings!B24&lt;=2.2),[1]Ratings!C1,IF([1]Ratings!B24&gt;2.2,[1]Ratings!D1)))</f>
        <v>MEDIUM</v>
      </c>
      <c r="C72" s="32"/>
      <c r="D72" s="32">
        <f>500*60%</f>
        <v>300</v>
      </c>
      <c r="E72" s="22"/>
      <c r="J72" s="72"/>
      <c r="K72" s="72"/>
      <c r="S72" s="72"/>
      <c r="T72" s="72"/>
      <c r="U72" s="72"/>
    </row>
    <row r="73" spans="1:21" s="23" customFormat="1" ht="16" thickBot="1" x14ac:dyDescent="0.4">
      <c r="A73" s="82" t="s">
        <v>103</v>
      </c>
      <c r="B73" s="83" t="s">
        <v>104</v>
      </c>
      <c r="C73" s="32">
        <f>VLOOKUP(B71,[1]Ratings!F:J,2,FALSE)+VLOOKUP(B72,[1]Ratings!H:I,2,FALSE)</f>
        <v>0.5</v>
      </c>
      <c r="D73" s="63"/>
      <c r="E73" s="22"/>
      <c r="J73" s="72"/>
      <c r="K73" s="72"/>
      <c r="S73" s="72"/>
      <c r="T73" s="72"/>
      <c r="U73" s="72"/>
    </row>
    <row r="74" spans="1:21" s="23" customFormat="1" ht="31.5" thickBot="1" x14ac:dyDescent="0.4">
      <c r="A74" s="84" t="s">
        <v>105</v>
      </c>
      <c r="B74" s="85" t="str">
        <f>IF(B73='[1]Drop down'!B27,'[1]Drop down'!B28,IF(B73='[1]Drop down'!C27,'[1]Drop down'!C28))</f>
        <v>The IP DOES NOT have the capacity and capability to undertake the project at the level foreseen in the IP and Donor Agreement</v>
      </c>
      <c r="C74" s="32"/>
      <c r="E74" s="22"/>
      <c r="J74" s="72"/>
      <c r="K74" s="72"/>
      <c r="S74" s="72"/>
      <c r="T74" s="72"/>
      <c r="U74" s="72"/>
    </row>
    <row r="75" spans="1:21" s="23" customFormat="1" ht="72" customHeight="1" thickBot="1" x14ac:dyDescent="0.4">
      <c r="A75" s="86" t="s">
        <v>106</v>
      </c>
      <c r="B75" s="87"/>
      <c r="C75" s="32"/>
      <c r="E75" s="22"/>
    </row>
    <row r="76" spans="1:21" s="23" customFormat="1" ht="58.15" customHeight="1" thickBot="1" x14ac:dyDescent="0.4">
      <c r="A76" s="88" t="s">
        <v>107</v>
      </c>
      <c r="B76" s="87"/>
      <c r="C76" s="32"/>
    </row>
    <row r="77" spans="1:21" s="23" customFormat="1" ht="76.5" customHeight="1" thickBot="1" x14ac:dyDescent="0.4">
      <c r="A77" s="88" t="s">
        <v>108</v>
      </c>
      <c r="B77" s="87"/>
    </row>
    <row r="78" spans="1:21" s="23" customFormat="1" x14ac:dyDescent="0.35"/>
    <row r="79" spans="1:21" s="23" customFormat="1" x14ac:dyDescent="0.35">
      <c r="A79"/>
      <c r="C79" s="5"/>
      <c r="D79" s="5"/>
    </row>
    <row r="80" spans="1:21" s="23" customFormat="1" x14ac:dyDescent="0.35">
      <c r="A80"/>
      <c r="B80" s="89"/>
      <c r="C80" s="5"/>
      <c r="D80" s="5"/>
    </row>
    <row r="243" spans="214:214" ht="15.5" x14ac:dyDescent="0.45">
      <c r="HF243" s="90" t="s">
        <v>109</v>
      </c>
    </row>
  </sheetData>
  <mergeCells count="3">
    <mergeCell ref="A1:B1"/>
    <mergeCell ref="A2:B2"/>
    <mergeCell ref="A17:B17"/>
  </mergeCells>
  <conditionalFormatting sqref="B13">
    <cfRule type="containsText" dxfId="27" priority="1" operator="containsText" text="NO">
      <formula>NOT(ISERROR(SEARCH("NO",B13)))</formula>
    </cfRule>
    <cfRule type="containsText" dxfId="26" priority="3" operator="containsText" text="YES">
      <formula>NOT(ISERROR(SEARCH("YES",B13)))</formula>
    </cfRule>
  </conditionalFormatting>
  <conditionalFormatting sqref="B14">
    <cfRule type="containsText" dxfId="25" priority="4" operator="containsText" text="NO">
      <formula>NOT(ISERROR(SEARCH("NO",B14)))</formula>
    </cfRule>
  </conditionalFormatting>
  <conditionalFormatting sqref="B15">
    <cfRule type="containsText" dxfId="24" priority="5" operator="containsText" text="No neutrality concerns found">
      <formula>NOT(ISERROR(SEARCH("No neutrality concerns found",B15)))</formula>
    </cfRule>
  </conditionalFormatting>
  <conditionalFormatting sqref="B16">
    <cfRule type="containsText" dxfId="23" priority="2" operator="containsText" text="No evidence of fraud or conflicts found">
      <formula>NOT(ISERROR(SEARCH("No evidence of fraud or conflicts found",B16)))</formula>
    </cfRule>
  </conditionalFormatting>
  <conditionalFormatting sqref="B29:B33 B36:B39 B60:B62">
    <cfRule type="beginsWith" dxfId="22" priority="17" operator="beginsWith" text="NO">
      <formula>LEFT(B29,LEN("NO"))="NO"</formula>
    </cfRule>
    <cfRule type="beginsWith" dxfId="21" priority="18" operator="beginsWith" text="YES">
      <formula>LEFT(B29,LEN("YES"))="YES"</formula>
    </cfRule>
  </conditionalFormatting>
  <conditionalFormatting sqref="B43:B48">
    <cfRule type="beginsWith" dxfId="20" priority="12" operator="beginsWith" text="NO">
      <formula>LEFT(B43,LEN("NO"))="NO"</formula>
    </cfRule>
    <cfRule type="beginsWith" dxfId="19" priority="13" operator="beginsWith" text="YES">
      <formula>LEFT(B43,LEN("YES"))="YES"</formula>
    </cfRule>
  </conditionalFormatting>
  <conditionalFormatting sqref="B51:B57">
    <cfRule type="beginsWith" dxfId="18" priority="10" operator="beginsWith" text="NO">
      <formula>LEFT(B51,LEN("NO"))="NO"</formula>
    </cfRule>
    <cfRule type="beginsWith" dxfId="17" priority="11" operator="beginsWith" text="YES">
      <formula>LEFT(B51,LEN("YES"))="YES"</formula>
    </cfRule>
  </conditionalFormatting>
  <conditionalFormatting sqref="B71">
    <cfRule type="containsText" dxfId="16" priority="6" operator="containsText" text="WEAK">
      <formula>NOT(ISERROR(SEARCH("WEAK",B71)))</formula>
    </cfRule>
    <cfRule type="containsText" dxfId="15" priority="7" operator="containsText" text="FAIR">
      <formula>NOT(ISERROR(SEARCH("FAIR",B71)))</formula>
    </cfRule>
    <cfRule type="containsText" dxfId="14" priority="8" operator="containsText" text="STRONG">
      <formula>NOT(ISERROR(SEARCH("STRONG",B71)))</formula>
    </cfRule>
    <cfRule type="colorScale" priority="9">
      <colorScale>
        <cfvo type="min"/>
        <cfvo type="percentile" val="50"/>
        <cfvo type="max"/>
        <color rgb="FFF8696B"/>
        <color rgb="FFFFEB84"/>
        <color rgb="FF63BE7B"/>
      </colorScale>
    </cfRule>
  </conditionalFormatting>
  <conditionalFormatting sqref="B72">
    <cfRule type="containsText" dxfId="13" priority="27" operator="containsText" text="MEDIUM">
      <formula>NOT(ISERROR(SEARCH("MEDIUM",B72)))</formula>
    </cfRule>
    <cfRule type="containsText" dxfId="12" priority="28" operator="containsText" text="HIGH">
      <formula>NOT(ISERROR(SEARCH("HIGH",B72)))</formula>
    </cfRule>
    <cfRule type="containsText" dxfId="11" priority="29" operator="containsText" text="LOW">
      <formula>NOT(ISERROR(SEARCH("LOW",B72)))</formula>
    </cfRule>
  </conditionalFormatting>
  <conditionalFormatting sqref="B74">
    <cfRule type="containsText" dxfId="10" priority="25" operator="containsText" text="The Partner does NOT have the capacity and capability to undertake the Project at the level foreseen in the Partner Implementing Agreement">
      <formula>NOT(ISERROR(SEARCH("The Partner does NOT have the capacity and capability to undertake the Project at the level foreseen in the Partner Implementing Agreement",B74)))</formula>
    </cfRule>
    <cfRule type="containsText" dxfId="9" priority="26" operator="containsText" text="ndertake the Project at the level foreseen in the Partner Implementing Agreement">
      <formula>NOT(ISERROR(SEARCH("ndertake the Project at the level foreseen in the Partner Implementing Agreement",B74)))</formula>
    </cfRule>
  </conditionalFormatting>
  <conditionalFormatting sqref="C13">
    <cfRule type="beginsWith" dxfId="8" priority="20" operator="beginsWith" text="Continue">
      <formula>LEFT(C13,LEN("Continue"))="Continue"</formula>
    </cfRule>
    <cfRule type="beginsWith" dxfId="7" priority="21" operator="beginsWith" text="Either">
      <formula>LEFT(C13,LEN("Either"))="Either"</formula>
    </cfRule>
    <cfRule type="containsText" dxfId="6" priority="22" operator="containsText" text="Stop!">
      <formula>NOT(ISERROR(SEARCH("Stop!",C13)))</formula>
    </cfRule>
  </conditionalFormatting>
  <conditionalFormatting sqref="C14:C15">
    <cfRule type="containsText" dxfId="5" priority="24" operator="containsText" text="cannot">
      <formula>NOT(ISERROR(SEARCH("cannot",C14)))</formula>
    </cfRule>
  </conditionalFormatting>
  <conditionalFormatting sqref="C15:C16">
    <cfRule type="containsText" dxfId="4" priority="19" operator="containsText" text="Continue to next question">
      <formula>NOT(ISERROR(SEARCH("Continue to next question",C15)))</formula>
    </cfRule>
  </conditionalFormatting>
  <conditionalFormatting sqref="C16">
    <cfRule type="beginsWith" dxfId="3" priority="23" operator="beginsWith" text="Stop!">
      <formula>LEFT(C16,LEN("Stop!"))="Stop!"</formula>
    </cfRule>
  </conditionalFormatting>
  <conditionalFormatting sqref="C66:C71">
    <cfRule type="beginsWith" dxfId="2" priority="14" operator="beginsWith" text="WEAK">
      <formula>LEFT(C66,LEN("WEAK"))="WEAK"</formula>
    </cfRule>
    <cfRule type="beginsWith" dxfId="1" priority="15" operator="beginsWith" text="FAIR">
      <formula>LEFT(C66,LEN("FAIR"))="FAIR"</formula>
    </cfRule>
    <cfRule type="beginsWith" dxfId="0" priority="16" operator="beginsWith" text="STRONG">
      <formula>LEFT(C66,LEN("STRONG"))="STRONG"</formula>
    </cfRule>
  </conditionalFormatting>
  <pageMargins left="0.7" right="0.7" top="0.75" bottom="0.75" header="0.3" footer="0.3"/>
  <pageSetup paperSize="9" orientation="portrait" r:id="rId1"/>
  <rowBreaks count="1" manualBreakCount="1">
    <brk id="49" max="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6868B10BD32A41801BD99C567FE966" ma:contentTypeVersion="33" ma:contentTypeDescription="Create a new document." ma:contentTypeScope="" ma:versionID="8fc72f22dcc336ea8776f876159cfe1a">
  <xsd:schema xmlns:xsd="http://www.w3.org/2001/XMLSchema" xmlns:xs="http://www.w3.org/2001/XMLSchema" xmlns:p="http://schemas.microsoft.com/office/2006/metadata/properties" xmlns:ns2="d58d9d90-e003-4b8e-b3ed-eb4a2881c347" xmlns:ns3="4494213b-33b5-4526-8c5e-a9cfa9ad5aca" targetNamespace="http://schemas.microsoft.com/office/2006/metadata/properties" ma:root="true" ma:fieldsID="d74e368b1c4c34eb1cbb1f6c4743395c" ns2:_="" ns3:_="">
    <xsd:import namespace="d58d9d90-e003-4b8e-b3ed-eb4a2881c347"/>
    <xsd:import namespace="4494213b-33b5-4526-8c5e-a9cfa9ad5aca"/>
    <xsd:element name="properties">
      <xsd:complexType>
        <xsd:sequence>
          <xsd:element name="documentManagement">
            <xsd:complexType>
              <xsd:all>
                <xsd:element ref="ns2:Theme"/>
                <xsd:element ref="ns2:Theme0"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Crosscutting" minOccurs="0"/>
                <xsd:element ref="ns2:Scope" minOccurs="0"/>
                <xsd:element ref="ns2:Language" minOccurs="0"/>
                <xsd:element ref="ns3:SharedWithUsers" minOccurs="0"/>
                <xsd:element ref="ns3:SharedWithDetails" minOccurs="0"/>
                <xsd:element ref="ns2:MediaServiceDateTaken" minOccurs="0"/>
                <xsd:element ref="ns2:MediaLengthInSeconds" minOccurs="0"/>
                <xsd:element ref="ns2:Authors" minOccurs="0"/>
                <xsd:element ref="ns2:Typeofpublication" minOccurs="0"/>
                <xsd:element ref="ns2:YearofPublication"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8d9d90-e003-4b8e-b3ed-eb4a2881c347" elementFormDefault="qualified">
    <xsd:import namespace="http://schemas.microsoft.com/office/2006/documentManagement/types"/>
    <xsd:import namespace="http://schemas.microsoft.com/office/infopath/2007/PartnerControls"/>
    <xsd:element name="Theme" ma:index="8" ma:displayName="Country / Region" ma:format="Dropdown" ma:internalName="Theme">
      <xsd:simpleType>
        <xsd:restriction base="dms:Choice">
          <xsd:enumeration value="Global"/>
          <xsd:enumeration value="Americas"/>
          <xsd:enumeration value="ASEAN"/>
          <xsd:enumeration value="East Africa Region"/>
          <xsd:enumeration value="Europe"/>
          <xsd:enumeration value="Middle East"/>
          <xsd:enumeration value="Pakistan"/>
          <xsd:enumeration value="Nigeria"/>
          <xsd:enumeration value="Choice 8"/>
          <xsd:enumeration value="Afghanistan"/>
          <xsd:enumeration value="Somalia"/>
        </xsd:restriction>
      </xsd:simpleType>
    </xsd:element>
    <xsd:element name="Theme0" ma:index="9" nillable="true" ma:displayName="Theme" ma:format="Dropdown" ma:internalName="Theme0" ma:requiredMultiChoice="true">
      <xsd:complexType>
        <xsd:complexContent>
          <xsd:extension base="dms:MultiChoice">
            <xsd:sequence>
              <xsd:element name="Value" maxOccurs="unbounded" minOccurs="0" nillable="true">
                <xsd:simpleType>
                  <xsd:restriction base="dms:Choice">
                    <xsd:enumeration value="HH-NFI"/>
                    <xsd:enumeration value="S-NFI"/>
                    <xsd:enumeration value="Distribution-NFI"/>
                    <xsd:enumeration value="Emergency Shelter"/>
                    <xsd:enumeration value="Winterization"/>
                    <xsd:enumeration value="Repair / Retrofit"/>
                    <xsd:enumeration value="Housing"/>
                    <xsd:enumeration value="HLP"/>
                    <xsd:enumeration value="Site Planning / Settlement"/>
                    <xsd:enumeration value="CBI"/>
                    <xsd:enumeration value="Rental Assistance"/>
                    <xsd:enumeration value="Site interventions"/>
                    <xsd:enumeration value="Debris Management"/>
                    <xsd:enumeration value="Indoor Living Environment"/>
                    <xsd:enumeration value="Resettlement"/>
                    <xsd:enumeration value="Safety"/>
                    <xsd:enumeration value="Overall"/>
                    <xsd:enumeration value="Urban"/>
                    <xsd:enumeration value="Settlement's Approach"/>
                    <xsd:enumeration value="IEC"/>
                    <xsd:enumeration value="Floods"/>
                    <xsd:enumeration value="Site Mapping"/>
                    <xsd:enumeration value="Protection Mainstreaming"/>
                  </xsd:restriction>
                </xsd:simpleType>
              </xsd:element>
            </xsd:sequence>
          </xsd:extension>
        </xsd:complexContent>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Crosscutting" ma:index="18" nillable="true" ma:displayName="Cross-cutting" ma:default="None" ma:format="Dropdown" ma:internalName="Crosscutting">
      <xsd:complexType>
        <xsd:complexContent>
          <xsd:extension base="dms:MultiChoice">
            <xsd:sequence>
              <xsd:element name="Value" maxOccurs="unbounded" minOccurs="0" nillable="true">
                <xsd:simpleType>
                  <xsd:restriction base="dms:Choice">
                    <xsd:enumeration value="None"/>
                    <xsd:enumeration value="WASH"/>
                    <xsd:enumeration value="Protection"/>
                    <xsd:enumeration value="GBV"/>
                    <xsd:enumeration value="Health"/>
                    <xsd:enumeration value="Environment"/>
                    <xsd:enumeration value="Livelihoods"/>
                    <xsd:enumeration value="Disability Inclusion"/>
                    <xsd:enumeration value="Food Security"/>
                  </xsd:restriction>
                </xsd:simpleType>
              </xsd:element>
            </xsd:sequence>
          </xsd:extension>
        </xsd:complexContent>
      </xsd:complexType>
    </xsd:element>
    <xsd:element name="Scope" ma:index="19" nillable="true" ma:displayName="Scope" ma:default="None" ma:format="Dropdown" ma:internalName="Scope">
      <xsd:simpleType>
        <xsd:restriction base="dms:Choice">
          <xsd:enumeration value="None"/>
          <xsd:enumeration value="Global-level"/>
          <xsd:enumeration value="Cluster-level"/>
          <xsd:enumeration value="Program-level"/>
        </xsd:restriction>
      </xsd:simpleType>
    </xsd:element>
    <xsd:element name="Language" ma:index="20" nillable="true" ma:displayName="Language" ma:format="Dropdown" ma:internalName="Language">
      <xsd:simpleType>
        <xsd:restriction base="dms:Choice">
          <xsd:enumeration value="English - Inglés - Anglais"/>
          <xsd:enumeration value="Spanish - Español - Espagnol"/>
          <xsd:enumeration value="English / Spanish"/>
        </xsd:restriction>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Authors" ma:index="25" nillable="true" ma:displayName="Authors" ma:format="Dropdown" ma:internalName="Authors">
      <xsd:simpleType>
        <xsd:restriction base="dms:Choice">
          <xsd:enumeration value="IOM"/>
          <xsd:enumeration value="IFRC"/>
          <xsd:enumeration value="Global Shelter Cluster"/>
          <xsd:enumeration value="Oxfam"/>
          <xsd:enumeration value="Inter Sector Coordination Group"/>
          <xsd:enumeration value="UNGA"/>
          <xsd:enumeration value="IASC"/>
          <xsd:enumeration value="CHS Alliance"/>
          <xsd:enumeration value="Shpere"/>
          <xsd:enumeration value="Global Protection Cluster"/>
          <xsd:enumeration value="UNICEF"/>
        </xsd:restriction>
      </xsd:simpleType>
    </xsd:element>
    <xsd:element name="Typeofpublication" ma:index="26" nillable="true" ma:displayName="Type of publication" ma:format="Dropdown" ma:internalName="Typeofpublication">
      <xsd:simpleType>
        <xsd:restriction base="dms:Choice">
          <xsd:enumeration value="Guidelines"/>
          <xsd:enumeration value="Manual"/>
          <xsd:enumeration value="Handbook"/>
          <xsd:enumeration value="Toolkit"/>
          <xsd:enumeration value="Report"/>
          <xsd:enumeration value="Case Study"/>
          <xsd:enumeration value="Overview"/>
          <xsd:enumeration value="Compilation"/>
          <xsd:enumeration value="Framework"/>
          <xsd:enumeration value="Response Plan"/>
          <xsd:enumeration value="Guidance Note"/>
          <xsd:enumeration value="Infosheet"/>
          <xsd:enumeration value="Slides Presentation"/>
          <xsd:enumeration value="Resolution"/>
          <xsd:enumeration value="Training"/>
          <xsd:enumeration value="Multimedia"/>
        </xsd:restriction>
      </xsd:simpleType>
    </xsd:element>
    <xsd:element name="YearofPublication" ma:index="27" nillable="true" ma:displayName="Year of Publication" ma:format="Dropdown" ma:internalName="YearofPublication">
      <xsd:simpleType>
        <xsd:restriction base="dms:Choice">
          <xsd:enumeration value="2023"/>
          <xsd:enumeration value="2024"/>
          <xsd:enumeration value="2025"/>
          <xsd:enumeration value="2022"/>
          <xsd:enumeration value="2021"/>
          <xsd:enumeration value="2020"/>
          <xsd:enumeration value="2019"/>
          <xsd:enumeration value="2018"/>
          <xsd:enumeration value="2017"/>
          <xsd:enumeration value="2026"/>
        </xsd:restrictio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element name="MediaServiceLocation" ma:index="31" nillable="true" ma:displayName="Location" ma:indexed="true" ma:internalName="MediaServiceLocation" ma:readOnly="true">
      <xsd:simpleType>
        <xsd:restriction base="dms:Text"/>
      </xsd:simpleType>
    </xsd:element>
    <xsd:element name="MediaServiceObjectDetectorVersions" ma:index="32" nillable="true" ma:displayName="MediaServiceObjectDetectorVersions"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94213b-33b5-4526-8c5e-a9cfa9ad5aca"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30" nillable="true" ma:displayName="Taxonomy Catch All Column" ma:hidden="true" ma:list="{f901e3e5-b1a1-4cfe-aaaf-9d4175680b2f}" ma:internalName="TaxCatchAll" ma:showField="CatchAllData" ma:web="4494213b-33b5-4526-8c5e-a9cfa9ad5a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heme0 xmlns="d58d9d90-e003-4b8e-b3ed-eb4a2881c347"/>
    <Crosscutting xmlns="d58d9d90-e003-4b8e-b3ed-eb4a2881c347">
      <Value>None</Value>
    </Crosscutting>
    <Typeofpublication xmlns="d58d9d90-e003-4b8e-b3ed-eb4a2881c347" xsi:nil="true"/>
    <lcf76f155ced4ddcb4097134ff3c332f xmlns="d58d9d90-e003-4b8e-b3ed-eb4a2881c347">
      <Terms xmlns="http://schemas.microsoft.com/office/infopath/2007/PartnerControls"/>
    </lcf76f155ced4ddcb4097134ff3c332f>
    <Authors xmlns="d58d9d90-e003-4b8e-b3ed-eb4a2881c347" xsi:nil="true"/>
    <Theme xmlns="d58d9d90-e003-4b8e-b3ed-eb4a2881c347"/>
    <Scope xmlns="d58d9d90-e003-4b8e-b3ed-eb4a2881c347">None</Scope>
    <YearofPublication xmlns="d58d9d90-e003-4b8e-b3ed-eb4a2881c347" xsi:nil="true"/>
    <TaxCatchAll xmlns="4494213b-33b5-4526-8c5e-a9cfa9ad5aca" xsi:nil="true"/>
    <Language xmlns="d58d9d90-e003-4b8e-b3ed-eb4a2881c347" xsi:nil="true"/>
  </documentManagement>
</p:properties>
</file>

<file path=customXml/itemProps1.xml><?xml version="1.0" encoding="utf-8"?>
<ds:datastoreItem xmlns:ds="http://schemas.openxmlformats.org/officeDocument/2006/customXml" ds:itemID="{C85F87D9-1591-43D1-BB3D-8168381EE8D9}"/>
</file>

<file path=customXml/itemProps2.xml><?xml version="1.0" encoding="utf-8"?>
<ds:datastoreItem xmlns:ds="http://schemas.openxmlformats.org/officeDocument/2006/customXml" ds:itemID="{93CE21A0-B121-4F5D-9A3D-B52BB7BE2412}"/>
</file>

<file path=customXml/itemProps3.xml><?xml version="1.0" encoding="utf-8"?>
<ds:datastoreItem xmlns:ds="http://schemas.openxmlformats.org/officeDocument/2006/customXml" ds:itemID="{0FE35447-DC26-4F0C-8DDC-2111FBFAE55A}"/>
</file>

<file path=docMetadata/LabelInfo.xml><?xml version="1.0" encoding="utf-8"?>
<clbl:labelList xmlns:clbl="http://schemas.microsoft.com/office/2020/mipLabelMetadata">
  <clbl:label id="{2059aa38-f392-4105-be92-628035578272}" enabled="1" method="Standard" siteId="{1588262d-23fb-43b4-bd6e-bce49c8e61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Due Dilegence Assessment</vt:lpstr>
      <vt:lpstr>'Due Dilegence Assessment'!Print_Area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Manasik</dc:creator>
  <cp:lastModifiedBy>MOHAMMED Manasik</cp:lastModifiedBy>
  <dcterms:created xsi:type="dcterms:W3CDTF">2026-08-20T11:04:48Z</dcterms:created>
  <dcterms:modified xsi:type="dcterms:W3CDTF">2026-08-20T11:05:21Z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0x010100C46868B10BD32A41801BD99C567FE966</vt:lpwstr>
  </property>
</Properties>
</file>